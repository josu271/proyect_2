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abal\Downloads\"/>
    </mc:Choice>
  </mc:AlternateContent>
  <xr:revisionPtr revIDLastSave="0" documentId="13_ncr:80000009_{8F9A8616-50DB-47E9-B9F8-ECDC785E6E82}" xr6:coauthVersionLast="47" xr6:coauthVersionMax="47" xr10:uidLastSave="{00000000-0000-0000-0000-000000000000}"/>
  <bookViews>
    <workbookView xWindow="11412" yWindow="0" windowWidth="11724" windowHeight="12336" firstSheet="4" activeTab="4" xr2:uid="{19F6604D-33FB-49CF-8CB2-B3AAC1877800}"/>
  </bookViews>
  <sheets>
    <sheet name="Fuentes de Costos del Proyecto" sheetId="1" r:id="rId1"/>
    <sheet name="Costos a lo largo del tiempo" sheetId="2" r:id="rId2"/>
    <sheet name="Costos por Sprint" sheetId="6" r:id="rId3"/>
    <sheet name="Costo Acumulado del Proyecto" sheetId="3" r:id="rId4"/>
    <sheet name="Hoja de Datos" sheetId="5" r:id="rId5"/>
  </sheets>
  <definedNames>
    <definedName name="_ftn1" localSheetId="0">'Fuentes de Costos del Proyecto'!$B$84</definedName>
    <definedName name="_ftnref1" localSheetId="0">'Fuentes de Costos del Proyecto'!$B$4</definedName>
    <definedName name="_xlnm.Print_Area" localSheetId="4">'Hoja de Datos'!$B$1:$F$98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5" l="1"/>
  <c r="F25" i="5"/>
  <c r="F24" i="5"/>
  <c r="F23" i="5"/>
  <c r="F14" i="5"/>
  <c r="F13" i="5"/>
  <c r="F12" i="5"/>
  <c r="F11" i="5"/>
  <c r="D26" i="5"/>
  <c r="D25" i="5"/>
  <c r="D24" i="5"/>
  <c r="D23" i="5"/>
  <c r="D15" i="5"/>
  <c r="D14" i="5"/>
  <c r="D13" i="5"/>
  <c r="D11" i="5"/>
  <c r="D12" i="5"/>
  <c r="C35" i="6"/>
  <c r="C18" i="6"/>
  <c r="C24" i="6"/>
  <c r="C29" i="6"/>
  <c r="C34" i="6"/>
  <c r="I60" i="1"/>
  <c r="I61" i="1"/>
  <c r="I62" i="1"/>
  <c r="I63" i="1"/>
  <c r="I64" i="1"/>
  <c r="I65" i="1"/>
  <c r="C11" i="6"/>
  <c r="I52" i="1"/>
  <c r="I53" i="1"/>
  <c r="I54" i="1"/>
  <c r="I42" i="1"/>
  <c r="I43" i="1"/>
  <c r="I44" i="1"/>
  <c r="I45" i="1"/>
  <c r="I46" i="1"/>
  <c r="I47" i="1"/>
  <c r="I48" i="1"/>
  <c r="I49" i="1"/>
  <c r="I50" i="1"/>
  <c r="I51" i="1"/>
  <c r="I55" i="1"/>
  <c r="I56" i="1"/>
  <c r="I33" i="1"/>
  <c r="I34" i="1"/>
  <c r="I35" i="1"/>
  <c r="I36" i="1"/>
  <c r="I37" i="1"/>
  <c r="I38" i="1"/>
  <c r="I39" i="1"/>
  <c r="I40" i="1"/>
  <c r="I41" i="1"/>
  <c r="D28" i="1"/>
  <c r="H75" i="1"/>
  <c r="G75" i="1"/>
  <c r="F75" i="1"/>
  <c r="D75" i="1"/>
  <c r="I74" i="1"/>
  <c r="I73" i="1"/>
  <c r="H71" i="1"/>
  <c r="G71" i="1"/>
  <c r="F71" i="1"/>
  <c r="D71" i="1"/>
  <c r="I70" i="1"/>
  <c r="I69" i="1"/>
  <c r="I76" i="1"/>
  <c r="I77" i="1"/>
  <c r="I79" i="1"/>
  <c r="I80" i="1" s="1"/>
  <c r="I18" i="1"/>
  <c r="I19" i="1"/>
  <c r="I17" i="1"/>
  <c r="I66" i="1"/>
  <c r="I59" i="1"/>
  <c r="I32" i="1"/>
  <c r="I31" i="1"/>
  <c r="I30" i="1"/>
  <c r="I27" i="1"/>
  <c r="I26" i="1"/>
  <c r="I25" i="1"/>
  <c r="I24" i="1"/>
  <c r="I23" i="1"/>
  <c r="I20" i="1"/>
  <c r="I16" i="1"/>
  <c r="I15" i="1"/>
  <c r="I14" i="1"/>
  <c r="I13" i="1"/>
  <c r="B4" i="6"/>
  <c r="B3" i="6"/>
  <c r="F22" i="5"/>
  <c r="F21" i="5"/>
  <c r="F20" i="5"/>
  <c r="F19" i="5"/>
  <c r="F18" i="5"/>
  <c r="F17" i="5"/>
  <c r="F16" i="5"/>
  <c r="F15" i="5"/>
  <c r="D22" i="5"/>
  <c r="D21" i="5"/>
  <c r="D20" i="5"/>
  <c r="D19" i="5"/>
  <c r="D18" i="5"/>
  <c r="D17" i="5"/>
  <c r="D16" i="5"/>
  <c r="B4" i="2"/>
  <c r="B3" i="2"/>
  <c r="C53" i="2"/>
  <c r="C26" i="2"/>
  <c r="C18" i="2"/>
  <c r="C65" i="2"/>
  <c r="H21" i="1"/>
  <c r="H28" i="1"/>
  <c r="H57" i="1"/>
  <c r="H67" i="1"/>
  <c r="H78" i="1"/>
  <c r="H80" i="1"/>
  <c r="G21" i="1"/>
  <c r="G28" i="1"/>
  <c r="G57" i="1"/>
  <c r="G67" i="1"/>
  <c r="F21" i="1"/>
  <c r="F28" i="1"/>
  <c r="F57" i="1"/>
  <c r="F67" i="1"/>
  <c r="D21" i="1"/>
  <c r="D57" i="1"/>
  <c r="D67" i="1"/>
  <c r="C44" i="2"/>
  <c r="C66" i="2"/>
  <c r="D78" i="1"/>
  <c r="D80" i="1"/>
  <c r="F78" i="1"/>
  <c r="F80" i="1"/>
  <c r="I71" i="1"/>
  <c r="G78" i="1"/>
  <c r="G80" i="1"/>
  <c r="I75" i="1"/>
  <c r="I21" i="1"/>
  <c r="I28" i="1"/>
  <c r="I57" i="1"/>
  <c r="I67" i="1"/>
  <c r="I7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</authors>
  <commentList>
    <comment ref="B81" authorId="0" shapeId="0" xr:uid="{38EA20DB-308E-41E2-AD06-5570680293A8}">
      <text>
        <r>
          <rPr>
            <sz val="8"/>
            <color indexed="81"/>
            <rFont val="Tahoma"/>
            <family val="2"/>
          </rPr>
          <t>Lista de supuestos para costos, según corresponda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EDF325-94F3-42CC-B4CE-5E54E8D54810}" keepAlive="1" name="Consulta - deepseek_csv_20260413_58b6f8" description="Conexión a la consulta 'deepseek_csv_20260413_58b6f8' en el libro." type="5" refreshedVersion="0" background="1">
    <dbPr connection="Provider=Microsoft.Mashup.OleDb.1;Data Source=$Workbook$;Location=deepseek_csv_20260413_58b6f8;Extended Properties=&quot;&quot;" command="SELECT * FROM [deepseek_csv_20260413_58b6f8]"/>
  </connection>
  <connection id="2" xr16:uid="{33F94298-9DA2-4DB1-B6E2-0A455C253564}" keepAlive="1" name="Consulta - deepseek_csv_20260413_5ba2c8" description="Conexión a la consulta 'deepseek_csv_20260413_5ba2c8' en el libro." type="5" refreshedVersion="0" background="1">
    <dbPr connection="Provider=Microsoft.Mashup.OleDb.1;Data Source=$Workbook$;Location=deepseek_csv_20260413_5ba2c8;Extended Properties=&quot;&quot;" command="SELECT * FROM [deepseek_csv_20260413_5ba2c8]"/>
  </connection>
  <connection id="3" xr16:uid="{EE63981C-6F8B-4253-8826-4D1D326FF354}" keepAlive="1" name="Consulta - deepseek_csv_20260413_7b350d (2)" description="Conexión a la consulta 'deepseek_csv_20260413_7b350d (2)' en el libro." type="5" refreshedVersion="0" background="1">
    <dbPr connection="Provider=Microsoft.Mashup.OleDb.1;Data Source=$Workbook$;Location=&quot;deepseek_csv_20260413_7b350d (2)&quot;;Extended Properties=&quot;&quot;" command="SELECT * FROM [deepseek_csv_20260413_7b350d (2)]"/>
  </connection>
  <connection id="4" xr16:uid="{B670C756-F76A-4876-AE93-849D4591B24B}" keepAlive="1" name="Consulta - deepseek_csv_20260413_8bb7c6" description="Conexión a la consulta 'deepseek_csv_20260413_8bb7c6' en el libro." type="5" refreshedVersion="0" background="1">
    <dbPr connection="Provider=Microsoft.Mashup.OleDb.1;Data Source=$Workbook$;Location=deepseek_csv_20260413_8bb7c6;Extended Properties=&quot;&quot;" command="SELECT * FROM [deepseek_csv_20260413_8bb7c6]"/>
  </connection>
  <connection id="5" xr16:uid="{1A20C2BC-4174-4EF0-A114-6FB2D688ADA8}" keepAlive="1" name="Consulta - deepseek_csv_20260413_ca81b0" description="Conexión a la consulta 'deepseek_csv_20260413_ca81b0' en el libro." type="5" refreshedVersion="0" background="1">
    <dbPr connection="Provider=Microsoft.Mashup.OleDb.1;Data Source=$Workbook$;Location=deepseek_csv_20260413_ca81b0;Extended Properties=&quot;&quot;" command="SELECT * FROM [deepseek_csv_20260413_ca81b0]"/>
  </connection>
  <connection id="6" xr16:uid="{6DA55C81-974A-4118-86B5-672F391F7A64}" keepAlive="1" name="Consulta - deepseek_csv_20260413_f11a87" description="Conexión a la consulta 'deepseek_csv_20260413_f11a87' en el libro." type="5" refreshedVersion="0" background="1">
    <dbPr connection="Provider=Microsoft.Mashup.OleDb.1;Data Source=$Workbook$;Location=deepseek_csv_20260413_f11a87;Extended Properties=&quot;&quot;" command="SELECT * FROM [deepseek_csv_20260413_f11a87]"/>
  </connection>
  <connection id="7" xr16:uid="{5CF8FB45-5272-4759-9142-8D4BF29B889B}" keepAlive="1" name="Consulta - deepseek_text_20260413_357ef4" description="Conexión a la consulta 'deepseek_text_20260413_357ef4' en el libro." type="5" refreshedVersion="0" background="1">
    <dbPr connection="Provider=Microsoft.Mashup.OleDb.1;Data Source=$Workbook$;Location=deepseek_text_20260413_357ef4;Extended Properties=&quot;&quot;" command="SELECT * FROM [deepseek_text_20260413_357ef4]"/>
  </connection>
</connections>
</file>

<file path=xl/sharedStrings.xml><?xml version="1.0" encoding="utf-8"?>
<sst xmlns="http://schemas.openxmlformats.org/spreadsheetml/2006/main" count="276" uniqueCount="168">
  <si>
    <t>Item</t>
  </si>
  <si>
    <t>Subtotal</t>
  </si>
  <si>
    <t xml:space="preserve">    Subtotal</t>
  </si>
  <si>
    <t xml:space="preserve">  &gt; Return to this worksheet to see the updated chart</t>
  </si>
  <si>
    <t xml:space="preserve">  &gt; Red markers represent actual costs</t>
  </si>
  <si>
    <t xml:space="preserve">  &gt; Enter new data / modify existing data into the Projected Monthly Cost and Actual Monthly Cost columns</t>
  </si>
  <si>
    <r>
      <t>Instructions:</t>
    </r>
    <r>
      <rPr>
        <i/>
        <sz val="9"/>
        <rFont val="Arial"/>
        <family val="2"/>
      </rPr>
      <t xml:space="preserve">
To enter/edit data in the Cumulative Project Cost chart below:</t>
    </r>
  </si>
  <si>
    <t xml:space="preserve">  &gt; Click on the Data Worksheet tab (bottom of page)</t>
  </si>
  <si>
    <t xml:space="preserve">  &gt;The blue markers represent projected costs (baseline)</t>
  </si>
  <si>
    <t xml:space="preserve">  &gt;Enter anticipated specific sources of cost, date of expenditure and reason</t>
  </si>
  <si>
    <t>Template Source: http://www.cvr-it.com</t>
  </si>
  <si>
    <t xml:space="preserve">Nombre del Proyecto: </t>
  </si>
  <si>
    <r>
      <t xml:space="preserve">Instrucciones:
</t>
    </r>
    <r>
      <rPr>
        <i/>
        <sz val="10"/>
        <rFont val="Arial"/>
        <family val="2"/>
      </rPr>
      <t xml:space="preserve">  &gt; Ingrese las tareas del proyecto especificas a su proyecto</t>
    </r>
  </si>
  <si>
    <t xml:space="preserve">  &gt; Ingrese la información del presupuesto en las celdas en blanco </t>
  </si>
  <si>
    <t xml:space="preserve">  &gt; Los totales son calculados automáticamente</t>
  </si>
  <si>
    <t xml:space="preserve">  &gt; Para agregar filas, Desproteger hoja (Herramientas / Protección / Desproteger). Proteja cuando este hecho para proteger la entrada de datos.</t>
  </si>
  <si>
    <t>Tarea del Proyecto</t>
  </si>
  <si>
    <t>Horas hombre</t>
  </si>
  <si>
    <t>Costo del Material ($)</t>
  </si>
  <si>
    <t>Travel Costos de Viaje ($)</t>
  </si>
  <si>
    <t>OtrosCostos ($)</t>
  </si>
  <si>
    <t>Total por Tarea</t>
  </si>
  <si>
    <t xml:space="preserve">Sub-Totales: </t>
  </si>
  <si>
    <t xml:space="preserve">Riesgo (Contingencia): </t>
  </si>
  <si>
    <t xml:space="preserve">TOTAL (Programado): </t>
  </si>
  <si>
    <t>Comentarios:</t>
  </si>
  <si>
    <t>Fuentes de Costo del Proyecto</t>
  </si>
  <si>
    <t>Fecha</t>
  </si>
  <si>
    <t>Costo</t>
  </si>
  <si>
    <t>Inicio</t>
  </si>
  <si>
    <t>Pruebas &amp; Entrega</t>
  </si>
  <si>
    <t>TOTAL PROYECTO</t>
  </si>
  <si>
    <t xml:space="preserve">  &gt; Este gráfico puede ser copiado en un documento Word</t>
  </si>
  <si>
    <t>Haga clic  en Archivo/Guardar para guardar los cambios</t>
  </si>
  <si>
    <t>Gráfico del Costo Acumulado del Proyecto</t>
  </si>
  <si>
    <r>
      <t>Instrucciones:</t>
    </r>
    <r>
      <rPr>
        <i/>
        <sz val="10"/>
        <rFont val="Arial"/>
        <family val="2"/>
      </rPr>
      <t xml:space="preserve">
&gt; Ajustar el número de filas para que coincida con la duración de proyecto</t>
    </r>
  </si>
  <si>
    <t>&gt; Introduzca los costos mensuales reales en la columna D</t>
  </si>
  <si>
    <t>&gt; Borrar datos ficticios (celdas en blanco)</t>
  </si>
  <si>
    <t>&gt;Los costos proyectados y reales acumulados son valores calculados.</t>
  </si>
  <si>
    <t>&gt; Ingrese los costos mensuales proyectados en la columna B</t>
  </si>
  <si>
    <r>
      <t>&gt;</t>
    </r>
    <r>
      <rPr>
        <i/>
        <sz val="10"/>
        <rFont val="Arial"/>
        <family val="2"/>
      </rPr>
      <t xml:space="preserve"> Los números introducidos aquí afectan directamente a la tabla en la pestaña Costos Acumulados del Proyecto</t>
    </r>
  </si>
  <si>
    <t>Costo Acumulado Proyectado</t>
  </si>
  <si>
    <t>Actual Acumulado Actual</t>
  </si>
  <si>
    <t>Gerente del Proyecto:</t>
  </si>
  <si>
    <t>Costo por Hora ($)</t>
  </si>
  <si>
    <t>Costo Acumulado del Proyecto</t>
  </si>
  <si>
    <t>Desarrollo</t>
  </si>
  <si>
    <t>Costos a lo largo de tiempo</t>
  </si>
  <si>
    <t>Razón</t>
  </si>
  <si>
    <t>Costos por Sprint</t>
  </si>
  <si>
    <t>10 - Otros</t>
  </si>
  <si>
    <t>11 - Otros</t>
  </si>
  <si>
    <t>Planificación</t>
  </si>
  <si>
    <t>Implementación</t>
  </si>
  <si>
    <t>Declaración de la visión del proyecto</t>
  </si>
  <si>
    <t>Project Charter</t>
  </si>
  <si>
    <t>Selección del enfoque de desarrollo</t>
  </si>
  <si>
    <t>Registro de supuestos y restricciones</t>
  </si>
  <si>
    <t>Declaración del equipo del proyecto</t>
  </si>
  <si>
    <t>Repositorio GitHub operativo</t>
  </si>
  <si>
    <t>Documento inicial del problema</t>
  </si>
  <si>
    <t>Lista de requerimientos funcionales y no funcionales</t>
  </si>
  <si>
    <t>Presupuesto del Proyecto</t>
  </si>
  <si>
    <t>Registro de Riesgos</t>
  </si>
  <si>
    <t>Revisión y Retrospectiva</t>
  </si>
  <si>
    <t>Cierre</t>
  </si>
  <si>
    <t>Acta de Cierre de Proyecto</t>
  </si>
  <si>
    <t>Product Backlog (Jira/Excel)</t>
  </si>
  <si>
    <t>Planificación de Sprints</t>
  </si>
  <si>
    <t>Definición de criterios de aceptación</t>
  </si>
  <si>
    <t>Registro de Oportunidades</t>
  </si>
  <si>
    <t>Configuración inicial del proyecto (React + Vite + FastAPI)</t>
  </si>
  <si>
    <t>Implementación CRUD de cursos (backend + frontend)</t>
  </si>
  <si>
    <t>Implementación CRUD de docentes</t>
  </si>
  <si>
    <t>Implementación CRUD de aulas</t>
  </si>
  <si>
    <t>Implementación CRUD de estudiantes</t>
  </si>
  <si>
    <t>Configuración de base de datos PostgreSQL</t>
  </si>
  <si>
    <t>Implementación de autenticación JWT</t>
  </si>
  <si>
    <t>Implementación de validación de prerrequisitos</t>
  </si>
  <si>
    <t>Implementación de validación de créditos (20-22)</t>
  </si>
  <si>
    <t>Modelado matemático del CSP</t>
  </si>
  <si>
    <t>Implementación del algoritmo CSP base (backtracking)</t>
  </si>
  <si>
    <t>Pruebas unitarias del validador</t>
  </si>
  <si>
    <t>Implementación de forward checking</t>
  </si>
  <si>
    <t>Implementación de heurística MRV (Minimum Remaining Values)</t>
  </si>
  <si>
    <t>Implementación de reporte de conflictos</t>
  </si>
  <si>
    <t>Optimización de rendimiento (&lt;30s)</t>
  </si>
  <si>
    <t>Pruebas de integración CSP</t>
  </si>
  <si>
    <t>Desarrollo de componentes UI con Tailwind CSS</t>
  </si>
  <si>
    <t>Integración con API (Axios)</t>
  </si>
  <si>
    <t>Desarrollo de vista semanal de horarios</t>
  </si>
  <si>
    <t>Desarrollo de dashboard por rol</t>
  </si>
  <si>
    <t>Implementación de Context API para estado global</t>
  </si>
  <si>
    <t>Pruebas de seguridad (OWASP ZAP)</t>
  </si>
  <si>
    <t>Pruebas de usabilidad (Lighthouse)</t>
  </si>
  <si>
    <t>Pruebas de carga (k6)</t>
  </si>
  <si>
    <t>Corrección de bugs</t>
  </si>
  <si>
    <t>Documentación técnica (docs/ completa)</t>
  </si>
  <si>
    <t>Retrospectiva del Sprint (x5 Sprints)</t>
  </si>
  <si>
    <t>Revisión del Sprint con Product Owner</t>
  </si>
  <si>
    <t>Lanzamiento y Cierre</t>
  </si>
  <si>
    <t>Preparación de video demostrativo (5 min)</t>
  </si>
  <si>
    <t>Presentación final</t>
  </si>
  <si>
    <t>Gastos de infraestructura cloud (Railway/Vercel)</t>
  </si>
  <si>
    <t>Licencias de software (GitHub Team - opcional)</t>
  </si>
  <si>
    <t>Despliegue en entorno de producción</t>
  </si>
  <si>
    <t>Documentación Sprint 0</t>
  </si>
  <si>
    <t>Configuración Tecnica</t>
  </si>
  <si>
    <t>Product Backlog</t>
  </si>
  <si>
    <t>Planificación Sprint 1</t>
  </si>
  <si>
    <t>Desarrollo Sprint 1</t>
  </si>
  <si>
    <t>Implementación CRUD de cursos</t>
  </si>
  <si>
    <t>Desarrollo Sprint 2</t>
  </si>
  <si>
    <t>Desarrollo Sprint 3</t>
  </si>
  <si>
    <t>Implementación de heurística MRV</t>
  </si>
  <si>
    <t>Gestión ágil</t>
  </si>
  <si>
    <t>Documentación</t>
  </si>
  <si>
    <t>Entrega final</t>
  </si>
  <si>
    <t>Cierre formal</t>
  </si>
  <si>
    <t>Gastos de infraestructura cloud</t>
  </si>
  <si>
    <t>Hosting demostrativo</t>
  </si>
  <si>
    <t>Pruebas de seguridad (OWASP)</t>
  </si>
  <si>
    <t>Pruebas de usabilidad</t>
  </si>
  <si>
    <t xml:space="preserve">Pruebas de carga </t>
  </si>
  <si>
    <t>Pruebas</t>
  </si>
  <si>
    <t>Pruebas Sprint 1</t>
  </si>
  <si>
    <t>HU05 - Validar prerrequisitos</t>
  </si>
  <si>
    <t>HU15 - Pruebas unitarias</t>
  </si>
  <si>
    <t>Sistema Generación de Horarios Academicos</t>
  </si>
  <si>
    <t>Pruebas Sprint 2</t>
  </si>
  <si>
    <t>Sulla Corbetta Jose Luis</t>
  </si>
  <si>
    <t>Retrospectiva del Sprint 01</t>
  </si>
  <si>
    <t>Revisión del Sprint 01 con Product Owner</t>
  </si>
  <si>
    <t>Retrospectiva del Sprint 02</t>
  </si>
  <si>
    <t>Retrospectiva del Sprint 03</t>
  </si>
  <si>
    <t>Revisión del Sprint 02 con Product Owner</t>
  </si>
  <si>
    <t>Revisión del Sprint 03 con Product Owner</t>
  </si>
  <si>
    <t>Revisión del Sprint 04 con Product Owner</t>
  </si>
  <si>
    <t>Retrospectiva del Sprint 04</t>
  </si>
  <si>
    <t>Sprint 0 - Inicio y Documentación (Semana 1)</t>
  </si>
  <si>
    <t>Documentación Sprint 0 (8 tareas)</t>
  </si>
  <si>
    <t>10 horas total</t>
  </si>
  <si>
    <t>Subtotal Sprint 0</t>
  </si>
  <si>
    <t>Sprint 1 - CRUD y Validaciones (Semanas 2-5)</t>
  </si>
  <si>
    <t>6h x $15/h</t>
  </si>
  <si>
    <t>8h x $15/h</t>
  </si>
  <si>
    <t>4h x $15/h</t>
  </si>
  <si>
    <t>HU06 - Validar créditos (máx. 6)</t>
  </si>
  <si>
    <t>HU10 - Ver horarios (vista básica)</t>
  </si>
  <si>
    <t>8h x $10/h</t>
  </si>
  <si>
    <t>Sprint 2 - Motor CSP y Autenticación (Semanas 6-10)</t>
  </si>
  <si>
    <t>HU07 - Definir restricciones / Modelado CSP</t>
  </si>
  <si>
    <t>HU08 - Generar horarios (backtracking)</t>
  </si>
  <si>
    <t>10h x $15/h</t>
  </si>
  <si>
    <t>HU12 - Autenticación JWT</t>
  </si>
  <si>
    <t>HU13 - Autorización por roles</t>
  </si>
  <si>
    <t>Sprint 3 - Frontend y Optimización (Semanas 11-14)</t>
  </si>
  <si>
    <t>HU09 - Evaluar / optimizar rendimiento (≤50s)</t>
  </si>
  <si>
    <t>HU11 - Exportar horarios a PDF</t>
  </si>
  <si>
    <t>4h x $10/h</t>
  </si>
  <si>
    <t>HU14 - Optimizar consultas SQL</t>
  </si>
  <si>
    <t>Semanas del Proyecto</t>
  </si>
  <si>
    <t>Costo Semanal Proyectado</t>
  </si>
  <si>
    <t xml:space="preserve">Costo Semanal Actual </t>
  </si>
  <si>
    <t>HU01 - CRUD estudiantes</t>
  </si>
  <si>
    <t>HU02 - CRUD docentes</t>
  </si>
  <si>
    <t>HU03 - CRUD cursos</t>
  </si>
  <si>
    <t>HU04 - CRUD aulas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</si>
</sst>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86" formatCode="&quot;$&quot;#,##0_);\(&quot;$&quot;#,##0\)"/>
    <numFmt numFmtId="188" formatCode="&quot;$&quot;#,##0.00_);\(&quot;$&quot;#,##0.00\)"/>
    <numFmt numFmtId="190" formatCode="_(&quot;$&quot;* #,##0_);_(&quot;$&quot;* \(#,##0\);_(&quot;$&quot;* &quot;-&quot;_);_(@_)"/>
    <numFmt numFmtId="195" formatCode="0_);\(0\)"/>
    <numFmt numFmtId="199" formatCode="m/d/yyyy;@"/>
    <numFmt numFmtId="200" formatCode="#,##0.0;\-#,##0.0"/>
    <numFmt numFmtId="209" formatCode="&quot;$&quot;#,##0.0_);\(&quot;$&quot;#,##0.0\)"/>
    <numFmt numFmtId="210" formatCode="_(&quot;$&quot;* #,##0.0_);_(&quot;$&quot;* \(#,##0.0\);_(&quot;$&quot;* &quot;-&quot;_);_(@_)"/>
  </numFmts>
  <fonts count="26" x14ac:knownFonts="1">
    <font>
      <sz val="10"/>
      <name val="Arial"/>
    </font>
    <font>
      <sz val="12"/>
      <name val="Times New Roman"/>
      <family val="1"/>
    </font>
    <font>
      <i/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i/>
      <sz val="9"/>
      <name val="Arial"/>
      <family val="2"/>
    </font>
    <font>
      <u/>
      <sz val="10"/>
      <color indexed="12"/>
      <name val="Arial"/>
    </font>
    <font>
      <sz val="9"/>
      <name val="Symbol"/>
      <family val="1"/>
      <charset val="2"/>
    </font>
    <font>
      <b/>
      <sz val="12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0"/>
      <color indexed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sz val="10"/>
      <color indexed="9"/>
      <name val="Arial"/>
      <family val="2"/>
    </font>
    <font>
      <i/>
      <sz val="9"/>
      <name val="Symbol"/>
      <family val="1"/>
      <charset val="2"/>
    </font>
    <font>
      <b/>
      <i/>
      <sz val="9"/>
      <name val="Arial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9"/>
      <name val="Segoe UI"/>
      <family val="2"/>
    </font>
    <font>
      <u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2"/>
      </left>
      <right style="hair">
        <color indexed="62"/>
      </right>
      <top style="hair">
        <color indexed="62"/>
      </top>
      <bottom style="hair">
        <color indexed="62"/>
      </bottom>
      <diagonal/>
    </border>
    <border>
      <left style="hair">
        <color indexed="62"/>
      </left>
      <right style="thin">
        <color indexed="64"/>
      </right>
      <top style="hair">
        <color indexed="62"/>
      </top>
      <bottom style="hair">
        <color indexed="62"/>
      </bottom>
      <diagonal/>
    </border>
    <border>
      <left style="hair">
        <color indexed="62"/>
      </left>
      <right style="hair">
        <color indexed="62"/>
      </right>
      <top style="hair">
        <color indexed="62"/>
      </top>
      <bottom style="thin">
        <color indexed="64"/>
      </bottom>
      <diagonal/>
    </border>
    <border>
      <left style="hair">
        <color indexed="62"/>
      </left>
      <right style="thin">
        <color indexed="64"/>
      </right>
      <top style="hair">
        <color indexed="62"/>
      </top>
      <bottom style="thin">
        <color indexed="64"/>
      </bottom>
      <diagonal/>
    </border>
    <border>
      <left style="thin">
        <color indexed="64"/>
      </left>
      <right style="hair">
        <color indexed="62"/>
      </right>
      <top style="hair">
        <color indexed="62"/>
      </top>
      <bottom style="hair">
        <color indexed="62"/>
      </bottom>
      <diagonal/>
    </border>
    <border>
      <left style="thin">
        <color indexed="64"/>
      </left>
      <right style="hair">
        <color indexed="62"/>
      </right>
      <top style="hair">
        <color indexed="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55">
    <xf numFmtId="0" fontId="0" fillId="0" borderId="0" xfId="0"/>
    <xf numFmtId="0" fontId="1" fillId="0" borderId="0" xfId="0" applyFont="1"/>
    <xf numFmtId="0" fontId="8" fillId="0" borderId="0" xfId="1" applyAlignment="1" applyProtection="1"/>
    <xf numFmtId="0" fontId="5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9" fillId="0" borderId="0" xfId="0" applyFont="1" applyAlignment="1">
      <alignment horizontal="left" indent="2"/>
    </xf>
    <xf numFmtId="0" fontId="4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/>
    </xf>
    <xf numFmtId="195" fontId="3" fillId="4" borderId="4" xfId="0" applyNumberFormat="1" applyFont="1" applyFill="1" applyBorder="1" applyAlignment="1">
      <alignment horizontal="center" vertical="center" wrapText="1"/>
    </xf>
    <xf numFmtId="195" fontId="3" fillId="3" borderId="4" xfId="0" applyNumberFormat="1" applyFont="1" applyFill="1" applyBorder="1" applyAlignment="1">
      <alignment horizontal="center" vertical="center" wrapText="1"/>
    </xf>
    <xf numFmtId="37" fontId="3" fillId="3" borderId="4" xfId="0" applyNumberFormat="1" applyFont="1" applyFill="1" applyBorder="1" applyAlignment="1">
      <alignment horizontal="center" vertical="center" wrapText="1"/>
    </xf>
    <xf numFmtId="195" fontId="5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center" wrapText="1"/>
    </xf>
    <xf numFmtId="195" fontId="3" fillId="2" borderId="1" xfId="0" applyNumberFormat="1" applyFont="1" applyFill="1" applyBorder="1" applyAlignment="1">
      <alignment horizontal="center" vertical="center" wrapText="1"/>
    </xf>
    <xf numFmtId="195" fontId="3" fillId="3" borderId="4" xfId="0" applyNumberFormat="1" applyFont="1" applyFill="1" applyBorder="1" applyAlignment="1">
      <alignment horizontal="center"/>
    </xf>
    <xf numFmtId="0" fontId="6" fillId="3" borderId="4" xfId="0" applyFont="1" applyFill="1" applyBorder="1" applyAlignment="1">
      <alignment horizontal="right" vertical="center" wrapText="1"/>
    </xf>
    <xf numFmtId="0" fontId="12" fillId="0" borderId="0" xfId="0" applyFont="1"/>
    <xf numFmtId="0" fontId="11" fillId="0" borderId="4" xfId="0" applyFont="1" applyBorder="1" applyAlignment="1" applyProtection="1">
      <alignment horizontal="left" vertical="center"/>
      <protection locked="0"/>
    </xf>
    <xf numFmtId="0" fontId="10" fillId="5" borderId="5" xfId="0" applyFont="1" applyFill="1" applyBorder="1" applyAlignment="1">
      <alignment horizontal="right" vertical="center"/>
    </xf>
    <xf numFmtId="195" fontId="5" fillId="6" borderId="4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vertical="center" wrapText="1"/>
    </xf>
    <xf numFmtId="0" fontId="5" fillId="0" borderId="0" xfId="0" applyFont="1" applyBorder="1"/>
    <xf numFmtId="186" fontId="16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4" xfId="0" applyFont="1" applyFill="1" applyBorder="1" applyAlignment="1" applyProtection="1">
      <alignment vertical="center" wrapText="1"/>
      <protection locked="0"/>
    </xf>
    <xf numFmtId="0" fontId="5" fillId="0" borderId="0" xfId="0" applyFont="1" applyFill="1"/>
    <xf numFmtId="0" fontId="16" fillId="0" borderId="4" xfId="0" applyFont="1" applyBorder="1" applyAlignment="1" applyProtection="1">
      <alignment vertical="center" wrapText="1"/>
      <protection locked="0"/>
    </xf>
    <xf numFmtId="186" fontId="16" fillId="0" borderId="4" xfId="0" applyNumberFormat="1" applyFont="1" applyBorder="1" applyAlignment="1" applyProtection="1">
      <alignment horizontal="center" vertical="center" wrapText="1"/>
      <protection locked="0"/>
    </xf>
    <xf numFmtId="0" fontId="11" fillId="2" borderId="2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/>
    </xf>
    <xf numFmtId="0" fontId="11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3" fillId="0" borderId="0" xfId="0" applyFont="1" applyBorder="1"/>
    <xf numFmtId="0" fontId="18" fillId="0" borderId="0" xfId="1" applyFont="1" applyAlignment="1" applyProtection="1">
      <alignment horizontal="left"/>
    </xf>
    <xf numFmtId="190" fontId="17" fillId="7" borderId="4" xfId="0" applyNumberFormat="1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190" fontId="17" fillId="8" borderId="4" xfId="0" applyNumberFormat="1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vertical="center" wrapText="1"/>
    </xf>
    <xf numFmtId="15" fontId="16" fillId="5" borderId="4" xfId="0" applyNumberFormat="1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9" fillId="9" borderId="4" xfId="0" applyFont="1" applyFill="1" applyBorder="1" applyAlignment="1">
      <alignment vertical="center" wrapText="1"/>
    </xf>
    <xf numFmtId="0" fontId="19" fillId="9" borderId="4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3" fillId="5" borderId="4" xfId="0" applyFont="1" applyFill="1" applyBorder="1" applyAlignment="1">
      <alignment horizontal="center" wrapText="1"/>
    </xf>
    <xf numFmtId="186" fontId="0" fillId="0" borderId="9" xfId="0" applyNumberFormat="1" applyBorder="1" applyProtection="1">
      <protection locked="0"/>
    </xf>
    <xf numFmtId="186" fontId="0" fillId="3" borderId="9" xfId="0" applyNumberFormat="1" applyFill="1" applyBorder="1"/>
    <xf numFmtId="186" fontId="0" fillId="3" borderId="10" xfId="0" applyNumberFormat="1" applyFill="1" applyBorder="1"/>
    <xf numFmtId="186" fontId="0" fillId="0" borderId="9" xfId="0" applyNumberFormat="1" applyBorder="1"/>
    <xf numFmtId="186" fontId="0" fillId="0" borderId="11" xfId="0" applyNumberFormat="1" applyBorder="1"/>
    <xf numFmtId="186" fontId="0" fillId="3" borderId="11" xfId="0" applyNumberFormat="1" applyFill="1" applyBorder="1"/>
    <xf numFmtId="186" fontId="0" fillId="0" borderId="11" xfId="0" applyNumberFormat="1" applyBorder="1" applyProtection="1">
      <protection locked="0"/>
    </xf>
    <xf numFmtId="186" fontId="0" fillId="3" borderId="12" xfId="0" applyNumberFormat="1" applyFill="1" applyBorder="1"/>
    <xf numFmtId="1" fontId="0" fillId="0" borderId="13" xfId="0" applyNumberFormat="1" applyBorder="1" applyProtection="1">
      <protection locked="0"/>
    </xf>
    <xf numFmtId="1" fontId="0" fillId="0" borderId="13" xfId="0" applyNumberFormat="1" applyBorder="1"/>
    <xf numFmtId="1" fontId="0" fillId="0" borderId="14" xfId="0" applyNumberFormat="1" applyBorder="1"/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5" fillId="0" borderId="4" xfId="0" applyFont="1" applyFill="1" applyBorder="1" applyAlignment="1" applyProtection="1">
      <alignment horizontal="left" vertical="center" wrapText="1"/>
      <protection locked="0"/>
    </xf>
    <xf numFmtId="0" fontId="3" fillId="5" borderId="3" xfId="0" applyFont="1" applyFill="1" applyBorder="1" applyAlignment="1">
      <alignment horizontal="left" vertical="top" wrapText="1"/>
    </xf>
    <xf numFmtId="49" fontId="5" fillId="6" borderId="4" xfId="0" applyNumberFormat="1" applyFont="1" applyFill="1" applyBorder="1" applyAlignment="1" applyProtection="1">
      <alignment horizontal="left" vertical="center" wrapText="1"/>
      <protection locked="0"/>
    </xf>
    <xf numFmtId="49" fontId="5" fillId="6" borderId="18" xfId="0" applyNumberFormat="1" applyFont="1" applyFill="1" applyBorder="1" applyAlignment="1" applyProtection="1">
      <alignment vertical="center" wrapText="1"/>
      <protection locked="0"/>
    </xf>
    <xf numFmtId="0" fontId="5" fillId="0" borderId="2" xfId="0" applyFont="1" applyBorder="1" applyAlignment="1" applyProtection="1">
      <alignment vertical="center" wrapText="1"/>
      <protection locked="0"/>
    </xf>
    <xf numFmtId="0" fontId="5" fillId="0" borderId="1" xfId="0" applyFont="1" applyFill="1" applyBorder="1" applyAlignment="1" applyProtection="1">
      <alignment vertical="center" wrapText="1"/>
      <protection locked="0"/>
    </xf>
    <xf numFmtId="0" fontId="5" fillId="0" borderId="2" xfId="0" applyFont="1" applyFill="1" applyBorder="1" applyAlignment="1" applyProtection="1">
      <alignment vertical="center" wrapText="1"/>
      <protection locked="0"/>
    </xf>
    <xf numFmtId="199" fontId="17" fillId="3" borderId="4" xfId="0" applyNumberFormat="1" applyFont="1" applyFill="1" applyBorder="1" applyAlignment="1">
      <alignment horizontal="center" vertical="center" wrapText="1"/>
    </xf>
    <xf numFmtId="199" fontId="16" fillId="5" borderId="4" xfId="0" applyNumberFormat="1" applyFont="1" applyFill="1" applyBorder="1" applyAlignment="1">
      <alignment horizontal="center" vertical="center" wrapText="1"/>
    </xf>
    <xf numFmtId="199" fontId="17" fillId="5" borderId="4" xfId="0" applyNumberFormat="1" applyFont="1" applyFill="1" applyBorder="1" applyAlignment="1">
      <alignment horizontal="center" vertical="center" wrapText="1"/>
    </xf>
    <xf numFmtId="199" fontId="16" fillId="0" borderId="4" xfId="0" applyNumberFormat="1" applyFont="1" applyFill="1" applyBorder="1" applyAlignment="1" applyProtection="1">
      <alignment horizontal="center" vertical="center" wrapText="1"/>
      <protection locked="0"/>
    </xf>
    <xf numFmtId="199" fontId="16" fillId="0" borderId="4" xfId="0" applyNumberFormat="1" applyFont="1" applyBorder="1" applyAlignment="1" applyProtection="1">
      <alignment horizontal="center" vertical="center" wrapText="1"/>
      <protection locked="0"/>
    </xf>
    <xf numFmtId="186" fontId="23" fillId="0" borderId="4" xfId="0" applyNumberFormat="1" applyFont="1" applyBorder="1" applyAlignment="1" applyProtection="1">
      <alignment horizontal="center" vertical="center" wrapText="1"/>
      <protection locked="0"/>
    </xf>
    <xf numFmtId="186" fontId="4" fillId="10" borderId="4" xfId="0" applyNumberFormat="1" applyFont="1" applyFill="1" applyBorder="1" applyAlignment="1">
      <alignment horizontal="center" vertical="center" wrapText="1"/>
    </xf>
    <xf numFmtId="186" fontId="4" fillId="3" borderId="4" xfId="0" applyNumberFormat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186" fontId="4" fillId="2" borderId="1" xfId="0" applyNumberFormat="1" applyFont="1" applyFill="1" applyBorder="1" applyAlignment="1">
      <alignment horizontal="center" vertical="center" wrapText="1"/>
    </xf>
    <xf numFmtId="186" fontId="4" fillId="2" borderId="19" xfId="0" applyNumberFormat="1" applyFont="1" applyFill="1" applyBorder="1" applyAlignment="1">
      <alignment horizontal="center" vertical="center" wrapText="1"/>
    </xf>
    <xf numFmtId="186" fontId="23" fillId="0" borderId="4" xfId="0" applyNumberFormat="1" applyFont="1" applyFill="1" applyBorder="1" applyAlignment="1" applyProtection="1">
      <alignment horizontal="center" vertical="center" wrapText="1"/>
      <protection locked="0"/>
    </xf>
    <xf numFmtId="186" fontId="4" fillId="3" borderId="4" xfId="0" applyNumberFormat="1" applyFont="1" applyFill="1" applyBorder="1" applyAlignment="1">
      <alignment horizontal="center"/>
    </xf>
    <xf numFmtId="0" fontId="23" fillId="2" borderId="1" xfId="0" applyNumberFormat="1" applyFont="1" applyFill="1" applyBorder="1" applyAlignment="1">
      <alignment horizontal="center" vertical="center" wrapText="1"/>
    </xf>
    <xf numFmtId="0" fontId="4" fillId="2" borderId="19" xfId="0" applyNumberFormat="1" applyFont="1" applyFill="1" applyBorder="1" applyAlignment="1">
      <alignment horizontal="center" vertical="center" wrapText="1"/>
    </xf>
    <xf numFmtId="186" fontId="23" fillId="0" borderId="18" xfId="0" applyNumberFormat="1" applyFont="1" applyBorder="1" applyAlignment="1" applyProtection="1">
      <alignment horizontal="center" vertical="center" wrapText="1"/>
      <protection locked="0"/>
    </xf>
    <xf numFmtId="186" fontId="23" fillId="6" borderId="4" xfId="0" applyNumberFormat="1" applyFont="1" applyFill="1" applyBorder="1" applyAlignment="1" applyProtection="1">
      <alignment horizontal="center" vertical="center" wrapText="1"/>
      <protection locked="0"/>
    </xf>
    <xf numFmtId="186" fontId="4" fillId="4" borderId="4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 applyProtection="1">
      <alignment vertical="center"/>
      <protection locked="0"/>
    </xf>
    <xf numFmtId="200" fontId="5" fillId="0" borderId="4" xfId="0" applyNumberFormat="1" applyFont="1" applyBorder="1" applyAlignment="1" applyProtection="1">
      <alignment horizontal="center" vertical="center" wrapText="1"/>
      <protection locked="0"/>
    </xf>
    <xf numFmtId="14" fontId="16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5" borderId="7" xfId="0" applyNumberFormat="1" applyFont="1" applyFill="1" applyBorder="1" applyAlignment="1">
      <alignment horizontal="left" vertical="center" wrapText="1"/>
    </xf>
    <xf numFmtId="0" fontId="5" fillId="0" borderId="4" xfId="0" applyNumberFormat="1" applyFont="1" applyBorder="1" applyAlignment="1" applyProtection="1">
      <alignment horizontal="center" vertical="center" wrapText="1"/>
      <protection locked="0"/>
    </xf>
    <xf numFmtId="0" fontId="5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8" xfId="0" applyNumberFormat="1" applyFont="1" applyBorder="1" applyAlignment="1" applyProtection="1">
      <alignment horizontal="center" vertical="center" wrapText="1"/>
      <protection locked="0"/>
    </xf>
    <xf numFmtId="14" fontId="24" fillId="11" borderId="4" xfId="0" applyNumberFormat="1" applyFont="1" applyFill="1" applyBorder="1" applyAlignment="1">
      <alignment horizontal="left" vertical="center" wrapText="1" indent="1"/>
    </xf>
    <xf numFmtId="209" fontId="16" fillId="0" borderId="4" xfId="0" applyNumberFormat="1" applyFont="1" applyFill="1" applyBorder="1" applyAlignment="1" applyProtection="1">
      <alignment horizontal="center" vertical="center" wrapText="1"/>
      <protection locked="0"/>
    </xf>
    <xf numFmtId="210" fontId="17" fillId="7" borderId="4" xfId="0" applyNumberFormat="1" applyFont="1" applyFill="1" applyBorder="1" applyAlignment="1">
      <alignment horizontal="center" vertical="center" wrapText="1"/>
    </xf>
    <xf numFmtId="188" fontId="0" fillId="0" borderId="9" xfId="0" applyNumberFormat="1" applyBorder="1" applyProtection="1">
      <protection locked="0"/>
    </xf>
    <xf numFmtId="188" fontId="0" fillId="3" borderId="9" xfId="0" applyNumberFormat="1" applyFill="1" applyBorder="1"/>
    <xf numFmtId="0" fontId="25" fillId="0" borderId="0" xfId="0" applyFont="1"/>
    <xf numFmtId="0" fontId="3" fillId="0" borderId="1" xfId="0" applyFont="1" applyBorder="1" applyAlignment="1" applyProtection="1">
      <alignment horizontal="center" vertical="top" wrapText="1"/>
      <protection locked="0"/>
    </xf>
    <xf numFmtId="0" fontId="3" fillId="0" borderId="19" xfId="0" applyFont="1" applyBorder="1" applyAlignment="1" applyProtection="1">
      <alignment horizontal="center" vertical="top" wrapText="1"/>
      <protection locked="0"/>
    </xf>
    <xf numFmtId="0" fontId="6" fillId="4" borderId="3" xfId="0" applyFont="1" applyFill="1" applyBorder="1" applyAlignment="1">
      <alignment horizontal="right" vertical="center" wrapText="1"/>
    </xf>
    <xf numFmtId="0" fontId="6" fillId="4" borderId="19" xfId="0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horizontal="right" vertical="center" wrapText="1"/>
    </xf>
    <xf numFmtId="0" fontId="3" fillId="5" borderId="19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3" fillId="4" borderId="19" xfId="0" applyFont="1" applyFill="1" applyBorder="1" applyAlignment="1">
      <alignment horizontal="right" vertical="center" wrapText="1"/>
    </xf>
    <xf numFmtId="49" fontId="13" fillId="9" borderId="15" xfId="0" applyNumberFormat="1" applyFont="1" applyFill="1" applyBorder="1" applyAlignment="1">
      <alignment horizontal="center" vertical="center" wrapText="1"/>
    </xf>
    <xf numFmtId="49" fontId="14" fillId="9" borderId="1" xfId="0" applyNumberFormat="1" applyFont="1" applyFill="1" applyBorder="1" applyAlignment="1">
      <alignment horizontal="center" vertical="center" wrapText="1"/>
    </xf>
    <xf numFmtId="49" fontId="15" fillId="9" borderId="16" xfId="0" applyNumberFormat="1" applyFont="1" applyFill="1" applyBorder="1" applyAlignment="1">
      <alignment horizontal="center" vertical="center"/>
    </xf>
    <xf numFmtId="49" fontId="15" fillId="9" borderId="17" xfId="0" applyNumberFormat="1" applyFont="1" applyFill="1" applyBorder="1" applyAlignment="1">
      <alignment horizontal="center" vertical="center"/>
    </xf>
    <xf numFmtId="49" fontId="3" fillId="5" borderId="6" xfId="0" applyNumberFormat="1" applyFont="1" applyFill="1" applyBorder="1" applyAlignment="1">
      <alignment horizontal="center" wrapText="1"/>
    </xf>
    <xf numFmtId="49" fontId="3" fillId="5" borderId="18" xfId="0" applyNumberFormat="1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6" borderId="19" xfId="0" applyFont="1" applyFill="1" applyBorder="1" applyAlignment="1">
      <alignment horizontal="left" vertical="top" wrapText="1"/>
    </xf>
    <xf numFmtId="0" fontId="10" fillId="9" borderId="7" xfId="0" applyFont="1" applyFill="1" applyBorder="1" applyAlignment="1">
      <alignment horizontal="center" vertical="top"/>
    </xf>
    <xf numFmtId="0" fontId="10" fillId="9" borderId="2" xfId="0" applyFont="1" applyFill="1" applyBorder="1" applyAlignment="1">
      <alignment horizontal="center" vertical="top"/>
    </xf>
    <xf numFmtId="0" fontId="10" fillId="9" borderId="8" xfId="0" applyFont="1" applyFill="1" applyBorder="1" applyAlignment="1">
      <alignment horizontal="center" vertical="top"/>
    </xf>
    <xf numFmtId="0" fontId="11" fillId="9" borderId="20" xfId="0" applyFont="1" applyFill="1" applyBorder="1" applyAlignment="1">
      <alignment horizontal="center" vertical="top"/>
    </xf>
    <xf numFmtId="0" fontId="11" fillId="9" borderId="0" xfId="0" applyFont="1" applyFill="1" applyBorder="1" applyAlignment="1">
      <alignment horizontal="center" vertical="top"/>
    </xf>
    <xf numFmtId="0" fontId="11" fillId="9" borderId="21" xfId="0" applyFont="1" applyFill="1" applyBorder="1" applyAlignment="1">
      <alignment horizontal="center" vertical="top"/>
    </xf>
    <xf numFmtId="49" fontId="3" fillId="5" borderId="4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/>
    </xf>
    <xf numFmtId="0" fontId="3" fillId="6" borderId="19" xfId="0" applyFont="1" applyFill="1" applyBorder="1" applyAlignment="1">
      <alignment horizontal="left" vertical="top"/>
    </xf>
    <xf numFmtId="49" fontId="3" fillId="5" borderId="4" xfId="0" applyNumberFormat="1" applyFont="1" applyFill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11" fillId="7" borderId="2" xfId="0" applyFont="1" applyFill="1" applyBorder="1" applyAlignment="1">
      <alignment horizontal="left"/>
    </xf>
    <xf numFmtId="0" fontId="5" fillId="0" borderId="16" xfId="0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3" fillId="9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13" fillId="9" borderId="3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19" xfId="0" applyFont="1" applyFill="1" applyBorder="1" applyAlignment="1">
      <alignment horizontal="center" vertical="center"/>
    </xf>
    <xf numFmtId="0" fontId="6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/>
    </xf>
    <xf numFmtId="2" fontId="5" fillId="5" borderId="7" xfId="0" applyNumberFormat="1" applyFont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A"/>
              <a:t>Costo</a:t>
            </a:r>
            <a:r>
              <a:rPr lang="es-PA" baseline="0"/>
              <a:t> del Proyecto Acumulado</a:t>
            </a:r>
            <a:endParaRPr lang="es-PA"/>
          </a:p>
        </c:rich>
      </c:tx>
      <c:layout>
        <c:manualLayout>
          <c:xMode val="edge"/>
          <c:yMode val="edge"/>
          <c:x val="0.34170901884645566"/>
          <c:y val="3.72882014008603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492583934511879"/>
          <c:y val="0.11930525219781761"/>
          <c:w val="0.82928698633338394"/>
          <c:h val="0.78291418223117903"/>
        </c:manualLayout>
      </c:layout>
      <c:lineChart>
        <c:grouping val="standard"/>
        <c:varyColors val="0"/>
        <c:ser>
          <c:idx val="0"/>
          <c:order val="0"/>
          <c:tx>
            <c:v>Planned Cost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'Hoja de Datos'!$D$11:$D$27</c:f>
              <c:numCache>
                <c:formatCode>"$"#,##0.00_);\("$"#,##0.00\)</c:formatCode>
                <c:ptCount val="17"/>
                <c:pt idx="0">
                  <c:v>127.5</c:v>
                </c:pt>
                <c:pt idx="1">
                  <c:v>290</c:v>
                </c:pt>
                <c:pt idx="2">
                  <c:v>452.5</c:v>
                </c:pt>
                <c:pt idx="3">
                  <c:v>615</c:v>
                </c:pt>
                <c:pt idx="4">
                  <c:v>780</c:v>
                </c:pt>
                <c:pt idx="5">
                  <c:v>945</c:v>
                </c:pt>
                <c:pt idx="6">
                  <c:v>1110</c:v>
                </c:pt>
                <c:pt idx="7">
                  <c:v>1275</c:v>
                </c:pt>
                <c:pt idx="8">
                  <c:v>1412.5</c:v>
                </c:pt>
                <c:pt idx="9">
                  <c:v>1550</c:v>
                </c:pt>
                <c:pt idx="10">
                  <c:v>1687.5</c:v>
                </c:pt>
                <c:pt idx="11">
                  <c:v>1825</c:v>
                </c:pt>
                <c:pt idx="12">
                  <c:v>1951.25</c:v>
                </c:pt>
                <c:pt idx="13">
                  <c:v>2077.5</c:v>
                </c:pt>
                <c:pt idx="14">
                  <c:v>2203.75</c:v>
                </c:pt>
                <c:pt idx="15">
                  <c:v>2330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BA-4274-8748-AE9539F382CD}"/>
            </c:ext>
          </c:extLst>
        </c:ser>
        <c:ser>
          <c:idx val="1"/>
          <c:order val="1"/>
          <c:tx>
            <c:v>Actual Cost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'Hoja de Datos'!$F$11:$F$27</c:f>
              <c:numCache>
                <c:formatCode>"$"#,##0_);\("$"#,##0\)</c:formatCode>
                <c:ptCount val="17"/>
                <c:pt idx="0">
                  <c:v>127.5</c:v>
                </c:pt>
                <c:pt idx="1">
                  <c:v>290</c:v>
                </c:pt>
                <c:pt idx="2">
                  <c:v>452.5</c:v>
                </c:pt>
                <c:pt idx="3">
                  <c:v>615</c:v>
                </c:pt>
                <c:pt idx="4">
                  <c:v>780</c:v>
                </c:pt>
                <c:pt idx="5">
                  <c:v>945</c:v>
                </c:pt>
                <c:pt idx="6">
                  <c:v>1110</c:v>
                </c:pt>
                <c:pt idx="7">
                  <c:v>1275</c:v>
                </c:pt>
                <c:pt idx="8">
                  <c:v>1412.5</c:v>
                </c:pt>
                <c:pt idx="9">
                  <c:v>1550</c:v>
                </c:pt>
                <c:pt idx="10">
                  <c:v>1687.5</c:v>
                </c:pt>
                <c:pt idx="11">
                  <c:v>1825</c:v>
                </c:pt>
                <c:pt idx="12">
                  <c:v>1951.25</c:v>
                </c:pt>
                <c:pt idx="13">
                  <c:v>2077.5</c:v>
                </c:pt>
                <c:pt idx="14">
                  <c:v>2203.75</c:v>
                </c:pt>
                <c:pt idx="15">
                  <c:v>2330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BA-4274-8748-AE9539F38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6617216"/>
        <c:axId val="1"/>
      </c:lineChart>
      <c:catAx>
        <c:axId val="476617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Semanas del Proyecto</a:t>
                </a:r>
              </a:p>
            </c:rich>
          </c:tx>
          <c:layout>
            <c:manualLayout>
              <c:xMode val="edge"/>
              <c:yMode val="edge"/>
              <c:x val="0.44984973171665388"/>
              <c:y val="0.950343420460016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A"/>
                  <a:t>Costos</a:t>
                </a:r>
                <a:r>
                  <a:rPr lang="es-PA" baseline="0"/>
                  <a:t> Acumulados </a:t>
                </a:r>
                <a:r>
                  <a:rPr lang="es-PA"/>
                  <a:t>($K)</a:t>
                </a:r>
              </a:p>
            </c:rich>
          </c:tx>
          <c:layout>
            <c:manualLayout>
              <c:xMode val="edge"/>
              <c:yMode val="edge"/>
              <c:x val="2.6800734315946206E-2"/>
              <c:y val="0.26779690630387176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4766172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5453987872789066"/>
          <c:y val="1.903954868067527E-2"/>
          <c:w val="0.31657307945290081"/>
          <c:h val="6.556826476572084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" r="0.75" t="1" header="0.5" footer="0.5"/>
    <c:pageSetup orientation="landscape" copies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</xdr:colOff>
      <xdr:row>12</xdr:row>
      <xdr:rowOff>91440</xdr:rowOff>
    </xdr:from>
    <xdr:to>
      <xdr:col>16</xdr:col>
      <xdr:colOff>236220</xdr:colOff>
      <xdr:row>44</xdr:row>
      <xdr:rowOff>22860</xdr:rowOff>
    </xdr:to>
    <xdr:graphicFrame macro="">
      <xdr:nvGraphicFramePr>
        <xdr:cNvPr id="2103" name="Chart 2">
          <a:extLst>
            <a:ext uri="{FF2B5EF4-FFF2-40B4-BE49-F238E27FC236}">
              <a16:creationId xmlns:a16="http://schemas.microsoft.com/office/drawing/2014/main" id="{E354982D-BD99-5F34-D52C-AA1E3D207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84695-C192-4CA2-B78F-3B4D72720767}">
  <dimension ref="A2:J86"/>
  <sheetViews>
    <sheetView topLeftCell="C58" zoomScale="80" zoomScaleNormal="80" workbookViewId="0">
      <selection activeCell="E79" sqref="E79"/>
    </sheetView>
  </sheetViews>
  <sheetFormatPr baseColWidth="10" defaultColWidth="9.109375" defaultRowHeight="13.2" x14ac:dyDescent="0.25"/>
  <cols>
    <col min="1" max="1" width="4.44140625" style="16" customWidth="1"/>
    <col min="2" max="2" width="28.5546875" style="41" customWidth="1"/>
    <col min="3" max="3" width="53.21875" style="16" customWidth="1"/>
    <col min="4" max="4" width="9.5546875" style="30" customWidth="1"/>
    <col min="5" max="6" width="11.44140625" style="30" customWidth="1"/>
    <col min="7" max="7" width="10.33203125" style="30" customWidth="1"/>
    <col min="8" max="8" width="11.44140625" style="30" customWidth="1"/>
    <col min="9" max="9" width="13.44140625" style="42" customWidth="1"/>
    <col min="10" max="10" width="31.44140625" style="16" customWidth="1"/>
    <col min="11" max="16384" width="9.109375" style="16"/>
  </cols>
  <sheetData>
    <row r="2" spans="2:10" ht="58.5" customHeight="1" x14ac:dyDescent="0.25">
      <c r="B2" s="115" t="s">
        <v>26</v>
      </c>
      <c r="C2" s="116"/>
      <c r="D2" s="117"/>
      <c r="E2" s="117"/>
      <c r="F2" s="117"/>
      <c r="G2" s="117"/>
      <c r="H2" s="117"/>
      <c r="I2" s="118"/>
      <c r="J2" s="30"/>
    </row>
    <row r="3" spans="2:10" ht="18.75" customHeight="1" x14ac:dyDescent="0.25">
      <c r="B3" s="23" t="s">
        <v>11</v>
      </c>
      <c r="C3" s="22" t="s">
        <v>128</v>
      </c>
      <c r="D3" s="127"/>
      <c r="E3" s="128"/>
      <c r="F3" s="128"/>
      <c r="G3" s="128"/>
      <c r="H3" s="128"/>
      <c r="I3" s="129"/>
      <c r="J3" s="30"/>
    </row>
    <row r="4" spans="2:10" s="30" customFormat="1" ht="16.5" customHeight="1" x14ac:dyDescent="0.25">
      <c r="B4" s="23" t="s">
        <v>43</v>
      </c>
      <c r="C4" s="25" t="s">
        <v>130</v>
      </c>
      <c r="D4" s="127"/>
      <c r="E4" s="128"/>
      <c r="F4" s="128"/>
      <c r="G4" s="128"/>
      <c r="H4" s="128"/>
      <c r="I4" s="129"/>
    </row>
    <row r="5" spans="2:10" ht="16.5" customHeight="1" x14ac:dyDescent="0.25">
      <c r="B5" s="124"/>
      <c r="C5" s="125"/>
      <c r="D5" s="125"/>
      <c r="E5" s="125"/>
      <c r="F5" s="125"/>
      <c r="G5" s="125"/>
      <c r="H5" s="125"/>
      <c r="I5" s="126"/>
      <c r="J5" s="30"/>
    </row>
    <row r="6" spans="2:10" ht="28.5" customHeight="1" x14ac:dyDescent="0.25">
      <c r="B6" s="134" t="s">
        <v>12</v>
      </c>
      <c r="C6" s="135"/>
      <c r="D6" s="135"/>
      <c r="E6" s="135"/>
      <c r="F6" s="135"/>
      <c r="G6" s="135"/>
      <c r="H6" s="135"/>
      <c r="I6" s="136"/>
      <c r="J6" s="30"/>
    </row>
    <row r="7" spans="2:10" ht="15" customHeight="1" x14ac:dyDescent="0.25">
      <c r="B7" s="121" t="s">
        <v>13</v>
      </c>
      <c r="C7" s="122"/>
      <c r="D7" s="122"/>
      <c r="E7" s="122"/>
      <c r="F7" s="122"/>
      <c r="G7" s="122"/>
      <c r="H7" s="122"/>
      <c r="I7" s="123"/>
      <c r="J7" s="30"/>
    </row>
    <row r="8" spans="2:10" ht="15" customHeight="1" x14ac:dyDescent="0.25">
      <c r="B8" s="121" t="s">
        <v>14</v>
      </c>
      <c r="C8" s="122"/>
      <c r="D8" s="122"/>
      <c r="E8" s="122"/>
      <c r="F8" s="122"/>
      <c r="G8" s="122"/>
      <c r="H8" s="122"/>
      <c r="I8" s="123"/>
      <c r="J8" s="30"/>
    </row>
    <row r="9" spans="2:10" ht="14.25" customHeight="1" x14ac:dyDescent="0.25">
      <c r="B9" s="131" t="s">
        <v>15</v>
      </c>
      <c r="C9" s="132"/>
      <c r="D9" s="132"/>
      <c r="E9" s="132"/>
      <c r="F9" s="132"/>
      <c r="G9" s="132"/>
      <c r="H9" s="132"/>
      <c r="I9" s="133"/>
    </row>
    <row r="10" spans="2:10" ht="13.5" customHeight="1" x14ac:dyDescent="0.25">
      <c r="B10" s="130" t="s">
        <v>16</v>
      </c>
      <c r="C10" s="130"/>
      <c r="D10" s="119" t="s">
        <v>17</v>
      </c>
      <c r="E10" s="119" t="s">
        <v>44</v>
      </c>
      <c r="F10" s="119" t="s">
        <v>18</v>
      </c>
      <c r="G10" s="119" t="s">
        <v>19</v>
      </c>
      <c r="H10" s="119" t="s">
        <v>20</v>
      </c>
      <c r="I10" s="137" t="s">
        <v>21</v>
      </c>
      <c r="J10" s="30"/>
    </row>
    <row r="11" spans="2:10" ht="13.5" customHeight="1" x14ac:dyDescent="0.25">
      <c r="B11" s="130"/>
      <c r="C11" s="130"/>
      <c r="D11" s="120"/>
      <c r="E11" s="120"/>
      <c r="F11" s="120"/>
      <c r="G11" s="120"/>
      <c r="H11" s="120"/>
      <c r="I11" s="137"/>
      <c r="J11" s="30"/>
    </row>
    <row r="12" spans="2:10" s="10" customFormat="1" ht="20.100000000000001" customHeight="1" x14ac:dyDescent="0.25">
      <c r="B12" s="28">
        <v>1</v>
      </c>
      <c r="C12" s="6" t="s">
        <v>29</v>
      </c>
      <c r="D12" s="36"/>
      <c r="E12" s="36"/>
      <c r="F12" s="36"/>
      <c r="G12" s="36"/>
      <c r="H12" s="36"/>
      <c r="I12" s="37"/>
      <c r="J12" s="27"/>
    </row>
    <row r="13" spans="2:10" s="3" customFormat="1" ht="20.100000000000001" customHeight="1" x14ac:dyDescent="0.25">
      <c r="B13" s="97">
        <v>1.1000000000000001</v>
      </c>
      <c r="C13" s="72" t="s">
        <v>56</v>
      </c>
      <c r="D13" s="95">
        <v>0.5</v>
      </c>
      <c r="E13" s="80">
        <v>10</v>
      </c>
      <c r="F13" s="80">
        <v>0</v>
      </c>
      <c r="G13" s="80">
        <v>0</v>
      </c>
      <c r="H13" s="80">
        <v>0</v>
      </c>
      <c r="I13" s="81">
        <f t="shared" ref="I13:I20" si="0">(D13*E13)+F13+G13+H13</f>
        <v>5</v>
      </c>
      <c r="J13" s="26"/>
    </row>
    <row r="14" spans="2:10" s="3" customFormat="1" ht="20.100000000000001" customHeight="1" x14ac:dyDescent="0.25">
      <c r="B14" s="97">
        <v>1.2</v>
      </c>
      <c r="C14" s="72" t="s">
        <v>54</v>
      </c>
      <c r="D14" s="95">
        <v>0.5</v>
      </c>
      <c r="E14" s="80">
        <v>10</v>
      </c>
      <c r="F14" s="80">
        <v>0</v>
      </c>
      <c r="G14" s="80">
        <v>0</v>
      </c>
      <c r="H14" s="80">
        <v>0</v>
      </c>
      <c r="I14" s="81">
        <f t="shared" si="0"/>
        <v>5</v>
      </c>
      <c r="J14" s="26"/>
    </row>
    <row r="15" spans="2:10" s="3" customFormat="1" ht="20.100000000000001" customHeight="1" x14ac:dyDescent="0.25">
      <c r="B15" s="97">
        <v>1.3</v>
      </c>
      <c r="C15" s="94" t="s">
        <v>55</v>
      </c>
      <c r="D15" s="95">
        <v>4</v>
      </c>
      <c r="E15" s="80">
        <v>15</v>
      </c>
      <c r="F15" s="80">
        <v>0</v>
      </c>
      <c r="G15" s="80">
        <v>0</v>
      </c>
      <c r="H15" s="80">
        <v>0</v>
      </c>
      <c r="I15" s="81">
        <f t="shared" si="0"/>
        <v>60</v>
      </c>
      <c r="J15" s="26"/>
    </row>
    <row r="16" spans="2:10" s="3" customFormat="1" ht="20.100000000000001" customHeight="1" x14ac:dyDescent="0.25">
      <c r="B16" s="97">
        <v>1.4</v>
      </c>
      <c r="C16" s="72" t="s">
        <v>57</v>
      </c>
      <c r="D16" s="95">
        <v>1</v>
      </c>
      <c r="E16" s="80">
        <v>10</v>
      </c>
      <c r="F16" s="80">
        <v>0</v>
      </c>
      <c r="G16" s="80">
        <v>0</v>
      </c>
      <c r="H16" s="80">
        <v>0</v>
      </c>
      <c r="I16" s="81">
        <f t="shared" si="0"/>
        <v>10</v>
      </c>
      <c r="J16" s="26"/>
    </row>
    <row r="17" spans="2:10" s="3" customFormat="1" ht="20.100000000000001" customHeight="1" x14ac:dyDescent="0.25">
      <c r="B17" s="97">
        <v>1.5</v>
      </c>
      <c r="C17" s="72" t="s">
        <v>58</v>
      </c>
      <c r="D17" s="95">
        <v>0.5</v>
      </c>
      <c r="E17" s="80">
        <v>10</v>
      </c>
      <c r="F17" s="80">
        <v>0</v>
      </c>
      <c r="G17" s="80">
        <v>0</v>
      </c>
      <c r="H17" s="80">
        <v>0</v>
      </c>
      <c r="I17" s="81">
        <f t="shared" si="0"/>
        <v>5</v>
      </c>
      <c r="J17" s="26"/>
    </row>
    <row r="18" spans="2:10" s="3" customFormat="1" ht="20.100000000000001" customHeight="1" x14ac:dyDescent="0.25">
      <c r="B18" s="97">
        <v>1.6</v>
      </c>
      <c r="C18" s="72" t="s">
        <v>59</v>
      </c>
      <c r="D18" s="95">
        <v>0.5</v>
      </c>
      <c r="E18" s="80">
        <v>5</v>
      </c>
      <c r="F18" s="80">
        <v>0</v>
      </c>
      <c r="G18" s="80">
        <v>0</v>
      </c>
      <c r="H18" s="80">
        <v>0</v>
      </c>
      <c r="I18" s="81">
        <f t="shared" si="0"/>
        <v>2.5</v>
      </c>
      <c r="J18" s="26"/>
    </row>
    <row r="19" spans="2:10" s="3" customFormat="1" ht="20.100000000000001" customHeight="1" x14ac:dyDescent="0.25">
      <c r="B19" s="97">
        <v>1.7</v>
      </c>
      <c r="C19" s="72" t="s">
        <v>60</v>
      </c>
      <c r="D19" s="95">
        <v>2</v>
      </c>
      <c r="E19" s="80">
        <v>15</v>
      </c>
      <c r="F19" s="80">
        <v>0</v>
      </c>
      <c r="G19" s="80">
        <v>0</v>
      </c>
      <c r="H19" s="80">
        <v>0</v>
      </c>
      <c r="I19" s="81">
        <f t="shared" si="0"/>
        <v>30</v>
      </c>
      <c r="J19" s="26"/>
    </row>
    <row r="20" spans="2:10" s="3" customFormat="1" ht="20.100000000000001" customHeight="1" x14ac:dyDescent="0.25">
      <c r="B20" s="97">
        <v>1.8</v>
      </c>
      <c r="C20" s="72" t="s">
        <v>61</v>
      </c>
      <c r="D20" s="95">
        <v>1</v>
      </c>
      <c r="E20" s="80">
        <v>10</v>
      </c>
      <c r="F20" s="80">
        <v>0</v>
      </c>
      <c r="G20" s="80">
        <v>0</v>
      </c>
      <c r="H20" s="80">
        <v>0</v>
      </c>
      <c r="I20" s="81">
        <f t="shared" si="0"/>
        <v>10</v>
      </c>
      <c r="J20" s="26"/>
    </row>
    <row r="21" spans="2:10" s="10" customFormat="1" ht="20.100000000000001" customHeight="1" x14ac:dyDescent="0.25">
      <c r="B21" s="8"/>
      <c r="C21" s="9" t="s">
        <v>1</v>
      </c>
      <c r="D21" s="13">
        <f>SUM(D13:D20)</f>
        <v>10</v>
      </c>
      <c r="E21" s="82"/>
      <c r="F21" s="82">
        <f>SUM(F13:F20)</f>
        <v>0</v>
      </c>
      <c r="G21" s="82">
        <f>SUM(G13:G20)</f>
        <v>0</v>
      </c>
      <c r="H21" s="82">
        <f>SUM(H13:H20)</f>
        <v>0</v>
      </c>
      <c r="I21" s="82">
        <f>SUM(I13:I20)</f>
        <v>127.5</v>
      </c>
      <c r="J21" s="27"/>
    </row>
    <row r="22" spans="2:10" s="10" customFormat="1" ht="20.100000000000001" customHeight="1" x14ac:dyDescent="0.25">
      <c r="B22" s="28">
        <v>2</v>
      </c>
      <c r="C22" s="4" t="s">
        <v>52</v>
      </c>
      <c r="D22" s="38"/>
      <c r="E22" s="83"/>
      <c r="F22" s="83"/>
      <c r="G22" s="83"/>
      <c r="H22" s="83"/>
      <c r="I22" s="84"/>
      <c r="J22" s="27"/>
    </row>
    <row r="23" spans="2:10" s="3" customFormat="1" ht="20.100000000000001" customHeight="1" x14ac:dyDescent="0.25">
      <c r="B23" s="97">
        <v>2.1</v>
      </c>
      <c r="C23" s="72" t="s">
        <v>67</v>
      </c>
      <c r="D23" s="98">
        <v>2</v>
      </c>
      <c r="E23" s="80">
        <v>10</v>
      </c>
      <c r="F23" s="80">
        <v>0</v>
      </c>
      <c r="G23" s="80">
        <v>0</v>
      </c>
      <c r="H23" s="80">
        <v>0</v>
      </c>
      <c r="I23" s="81">
        <f>(D23*E23)+F23+G23+H23</f>
        <v>20</v>
      </c>
      <c r="J23" s="26"/>
    </row>
    <row r="24" spans="2:10" s="3" customFormat="1" ht="20.100000000000001" customHeight="1" x14ac:dyDescent="0.25">
      <c r="B24" s="97">
        <v>2.2000000000000002</v>
      </c>
      <c r="C24" s="72" t="s">
        <v>68</v>
      </c>
      <c r="D24" s="98">
        <v>2</v>
      </c>
      <c r="E24" s="80">
        <v>10</v>
      </c>
      <c r="F24" s="80">
        <v>0</v>
      </c>
      <c r="G24" s="80">
        <v>0</v>
      </c>
      <c r="H24" s="80">
        <v>0</v>
      </c>
      <c r="I24" s="81">
        <f>(D24*E24)+F24+G24+H24</f>
        <v>20</v>
      </c>
      <c r="J24" s="26"/>
    </row>
    <row r="25" spans="2:10" s="3" customFormat="1" ht="20.100000000000001" customHeight="1" x14ac:dyDescent="0.25">
      <c r="B25" s="97">
        <v>2.2999999999999998</v>
      </c>
      <c r="C25" s="72" t="s">
        <v>69</v>
      </c>
      <c r="D25" s="98">
        <v>1</v>
      </c>
      <c r="E25" s="80">
        <v>15</v>
      </c>
      <c r="F25" s="80">
        <v>0</v>
      </c>
      <c r="G25" s="80">
        <v>0</v>
      </c>
      <c r="H25" s="80">
        <v>0</v>
      </c>
      <c r="I25" s="81">
        <f>(D25*E25)+F25+G25+H25</f>
        <v>15</v>
      </c>
      <c r="J25" s="26"/>
    </row>
    <row r="26" spans="2:10" s="3" customFormat="1" ht="20.100000000000001" customHeight="1" x14ac:dyDescent="0.25">
      <c r="B26" s="97">
        <v>2.4</v>
      </c>
      <c r="C26" s="72" t="s">
        <v>62</v>
      </c>
      <c r="D26" s="98">
        <v>2</v>
      </c>
      <c r="E26" s="80">
        <v>15</v>
      </c>
      <c r="F26" s="80">
        <v>0</v>
      </c>
      <c r="G26" s="80">
        <v>0</v>
      </c>
      <c r="H26" s="80">
        <v>0</v>
      </c>
      <c r="I26" s="81">
        <f>(D26*E26)+F26+G26+H26</f>
        <v>30</v>
      </c>
      <c r="J26" s="26"/>
    </row>
    <row r="27" spans="2:10" s="3" customFormat="1" ht="20.100000000000001" customHeight="1" x14ac:dyDescent="0.25">
      <c r="B27" s="97">
        <v>2.5</v>
      </c>
      <c r="C27" s="72" t="s">
        <v>63</v>
      </c>
      <c r="D27" s="98">
        <v>3</v>
      </c>
      <c r="E27" s="80">
        <v>15</v>
      </c>
      <c r="F27" s="80">
        <v>0</v>
      </c>
      <c r="G27" s="80">
        <v>0</v>
      </c>
      <c r="H27" s="80">
        <v>0</v>
      </c>
      <c r="I27" s="81">
        <f>(D27*E27)+F27+G27+H27</f>
        <v>45</v>
      </c>
      <c r="J27" s="26"/>
    </row>
    <row r="28" spans="2:10" s="10" customFormat="1" ht="20.100000000000001" customHeight="1" x14ac:dyDescent="0.25">
      <c r="B28" s="8"/>
      <c r="C28" s="9" t="s">
        <v>1</v>
      </c>
      <c r="D28" s="12">
        <f>SUM(D23:D27)</f>
        <v>10</v>
      </c>
      <c r="E28" s="82"/>
      <c r="F28" s="82">
        <f>SUM(F23:F27)</f>
        <v>0</v>
      </c>
      <c r="G28" s="82">
        <f>SUM(G23:G27)</f>
        <v>0</v>
      </c>
      <c r="H28" s="82">
        <f>SUM(H23:H27)</f>
        <v>0</v>
      </c>
      <c r="I28" s="82">
        <f>SUM(I23:I27)</f>
        <v>130</v>
      </c>
      <c r="J28" s="27"/>
    </row>
    <row r="29" spans="2:10" s="10" customFormat="1" ht="20.100000000000001" customHeight="1" x14ac:dyDescent="0.25">
      <c r="B29" s="7">
        <v>3</v>
      </c>
      <c r="C29" s="4" t="s">
        <v>53</v>
      </c>
      <c r="D29" s="18"/>
      <c r="E29" s="85"/>
      <c r="F29" s="85"/>
      <c r="G29" s="85"/>
      <c r="H29" s="85"/>
      <c r="I29" s="86"/>
      <c r="J29" s="27"/>
    </row>
    <row r="30" spans="2:10" s="10" customFormat="1" ht="20.100000000000001" customHeight="1" x14ac:dyDescent="0.25">
      <c r="B30" s="97">
        <v>3.1</v>
      </c>
      <c r="C30" s="73" t="s">
        <v>71</v>
      </c>
      <c r="D30" s="99">
        <v>4</v>
      </c>
      <c r="E30" s="80">
        <v>15</v>
      </c>
      <c r="F30" s="87">
        <v>0</v>
      </c>
      <c r="G30" s="87">
        <v>0</v>
      </c>
      <c r="H30" s="87">
        <v>0</v>
      </c>
      <c r="I30" s="81">
        <f t="shared" ref="I30:I56" si="1">(D30*E30)+F30+G30+H30</f>
        <v>60</v>
      </c>
      <c r="J30" s="27"/>
    </row>
    <row r="31" spans="2:10" s="3" customFormat="1" ht="20.100000000000001" customHeight="1" x14ac:dyDescent="0.25">
      <c r="B31" s="97">
        <v>3.2</v>
      </c>
      <c r="C31" s="74" t="s">
        <v>72</v>
      </c>
      <c r="D31" s="99">
        <v>8</v>
      </c>
      <c r="E31" s="80">
        <v>15</v>
      </c>
      <c r="F31" s="87">
        <v>0</v>
      </c>
      <c r="G31" s="87">
        <v>0</v>
      </c>
      <c r="H31" s="87">
        <v>0</v>
      </c>
      <c r="I31" s="81">
        <f t="shared" si="1"/>
        <v>120</v>
      </c>
      <c r="J31" s="26"/>
    </row>
    <row r="32" spans="2:10" s="3" customFormat="1" ht="20.100000000000001" customHeight="1" x14ac:dyDescent="0.25">
      <c r="B32" s="97">
        <v>3.3</v>
      </c>
      <c r="C32" s="74" t="s">
        <v>73</v>
      </c>
      <c r="D32" s="99">
        <v>6</v>
      </c>
      <c r="E32" s="80">
        <v>15</v>
      </c>
      <c r="F32" s="87">
        <v>0</v>
      </c>
      <c r="G32" s="87">
        <v>0</v>
      </c>
      <c r="H32" s="87">
        <v>0</v>
      </c>
      <c r="I32" s="81">
        <f t="shared" si="1"/>
        <v>90</v>
      </c>
      <c r="J32" s="26"/>
    </row>
    <row r="33" spans="2:10" s="3" customFormat="1" ht="20.100000000000001" customHeight="1" x14ac:dyDescent="0.25">
      <c r="B33" s="97">
        <v>3.4</v>
      </c>
      <c r="C33" s="74" t="s">
        <v>74</v>
      </c>
      <c r="D33" s="99">
        <v>4</v>
      </c>
      <c r="E33" s="80">
        <v>15</v>
      </c>
      <c r="F33" s="87">
        <v>0</v>
      </c>
      <c r="G33" s="87">
        <v>0</v>
      </c>
      <c r="H33" s="87">
        <v>0</v>
      </c>
      <c r="I33" s="81">
        <f t="shared" si="1"/>
        <v>60</v>
      </c>
      <c r="J33" s="26"/>
    </row>
    <row r="34" spans="2:10" s="3" customFormat="1" ht="20.100000000000001" customHeight="1" x14ac:dyDescent="0.25">
      <c r="B34" s="97">
        <v>3.5</v>
      </c>
      <c r="C34" s="74" t="s">
        <v>75</v>
      </c>
      <c r="D34" s="99">
        <v>6</v>
      </c>
      <c r="E34" s="80">
        <v>15</v>
      </c>
      <c r="F34" s="87">
        <v>0</v>
      </c>
      <c r="G34" s="87">
        <v>0</v>
      </c>
      <c r="H34" s="87">
        <v>0</v>
      </c>
      <c r="I34" s="81">
        <f t="shared" si="1"/>
        <v>90</v>
      </c>
      <c r="J34" s="26"/>
    </row>
    <row r="35" spans="2:10" s="3" customFormat="1" ht="20.100000000000001" customHeight="1" x14ac:dyDescent="0.25">
      <c r="B35" s="97">
        <v>3.6</v>
      </c>
      <c r="C35" s="74" t="s">
        <v>76</v>
      </c>
      <c r="D35" s="99">
        <v>4</v>
      </c>
      <c r="E35" s="80">
        <v>15</v>
      </c>
      <c r="F35" s="87">
        <v>0</v>
      </c>
      <c r="G35" s="87">
        <v>0</v>
      </c>
      <c r="H35" s="87">
        <v>0</v>
      </c>
      <c r="I35" s="81">
        <f t="shared" si="1"/>
        <v>60</v>
      </c>
      <c r="J35" s="26"/>
    </row>
    <row r="36" spans="2:10" s="3" customFormat="1" ht="20.100000000000001" customHeight="1" x14ac:dyDescent="0.25">
      <c r="B36" s="97">
        <v>3.7</v>
      </c>
      <c r="C36" s="74" t="s">
        <v>77</v>
      </c>
      <c r="D36" s="99">
        <v>6</v>
      </c>
      <c r="E36" s="80">
        <v>15</v>
      </c>
      <c r="F36" s="87">
        <v>0</v>
      </c>
      <c r="G36" s="87">
        <v>0</v>
      </c>
      <c r="H36" s="87">
        <v>0</v>
      </c>
      <c r="I36" s="81">
        <f t="shared" si="1"/>
        <v>90</v>
      </c>
      <c r="J36" s="26"/>
    </row>
    <row r="37" spans="2:10" s="3" customFormat="1" ht="20.100000000000001" customHeight="1" x14ac:dyDescent="0.25">
      <c r="B37" s="97">
        <v>3.8</v>
      </c>
      <c r="C37" s="74" t="s">
        <v>78</v>
      </c>
      <c r="D37" s="99">
        <v>6</v>
      </c>
      <c r="E37" s="80">
        <v>15</v>
      </c>
      <c r="F37" s="87">
        <v>0</v>
      </c>
      <c r="G37" s="87">
        <v>0</v>
      </c>
      <c r="H37" s="87">
        <v>0</v>
      </c>
      <c r="I37" s="81">
        <f t="shared" si="1"/>
        <v>90</v>
      </c>
      <c r="J37" s="26"/>
    </row>
    <row r="38" spans="2:10" s="3" customFormat="1" ht="20.100000000000001" customHeight="1" x14ac:dyDescent="0.25">
      <c r="B38" s="97">
        <v>3.9</v>
      </c>
      <c r="C38" s="74" t="s">
        <v>79</v>
      </c>
      <c r="D38" s="99">
        <v>4</v>
      </c>
      <c r="E38" s="80">
        <v>15</v>
      </c>
      <c r="F38" s="87">
        <v>0</v>
      </c>
      <c r="G38" s="87">
        <v>0</v>
      </c>
      <c r="H38" s="87">
        <v>0</v>
      </c>
      <c r="I38" s="81">
        <f t="shared" si="1"/>
        <v>60</v>
      </c>
      <c r="J38" s="26"/>
    </row>
    <row r="39" spans="2:10" s="3" customFormat="1" ht="20.100000000000001" customHeight="1" x14ac:dyDescent="0.25">
      <c r="B39" s="154">
        <v>3.1</v>
      </c>
      <c r="C39" s="74" t="s">
        <v>80</v>
      </c>
      <c r="D39" s="99">
        <v>6</v>
      </c>
      <c r="E39" s="80">
        <v>15</v>
      </c>
      <c r="F39" s="87">
        <v>0</v>
      </c>
      <c r="G39" s="87">
        <v>0</v>
      </c>
      <c r="H39" s="87">
        <v>0</v>
      </c>
      <c r="I39" s="81">
        <f t="shared" si="1"/>
        <v>90</v>
      </c>
      <c r="J39" s="26"/>
    </row>
    <row r="40" spans="2:10" s="3" customFormat="1" ht="20.100000000000001" customHeight="1" x14ac:dyDescent="0.25">
      <c r="B40" s="97">
        <v>3.11</v>
      </c>
      <c r="C40" s="74" t="s">
        <v>81</v>
      </c>
      <c r="D40" s="99">
        <v>10</v>
      </c>
      <c r="E40" s="80">
        <v>15</v>
      </c>
      <c r="F40" s="87">
        <v>0</v>
      </c>
      <c r="G40" s="87">
        <v>0</v>
      </c>
      <c r="H40" s="87">
        <v>0</v>
      </c>
      <c r="I40" s="81">
        <f t="shared" si="1"/>
        <v>150</v>
      </c>
      <c r="J40" s="26"/>
    </row>
    <row r="41" spans="2:10" s="3" customFormat="1" ht="20.100000000000001" customHeight="1" x14ac:dyDescent="0.25">
      <c r="B41" s="97">
        <v>3.12</v>
      </c>
      <c r="C41" s="74" t="s">
        <v>82</v>
      </c>
      <c r="D41" s="99">
        <v>4</v>
      </c>
      <c r="E41" s="80">
        <v>10</v>
      </c>
      <c r="F41" s="87">
        <v>0</v>
      </c>
      <c r="G41" s="87">
        <v>0</v>
      </c>
      <c r="H41" s="87">
        <v>0</v>
      </c>
      <c r="I41" s="81">
        <f t="shared" si="1"/>
        <v>40</v>
      </c>
      <c r="J41" s="26"/>
    </row>
    <row r="42" spans="2:10" s="3" customFormat="1" ht="20.100000000000001" customHeight="1" x14ac:dyDescent="0.25">
      <c r="B42" s="97">
        <v>3.13</v>
      </c>
      <c r="C42" s="74" t="s">
        <v>83</v>
      </c>
      <c r="D42" s="99">
        <v>8</v>
      </c>
      <c r="E42" s="80">
        <v>15</v>
      </c>
      <c r="F42" s="87">
        <v>0</v>
      </c>
      <c r="G42" s="87">
        <v>0</v>
      </c>
      <c r="H42" s="87">
        <v>0</v>
      </c>
      <c r="I42" s="81">
        <f t="shared" si="1"/>
        <v>120</v>
      </c>
      <c r="J42" s="26"/>
    </row>
    <row r="43" spans="2:10" s="3" customFormat="1" ht="20.100000000000001" customHeight="1" x14ac:dyDescent="0.25">
      <c r="B43" s="97">
        <v>3.14</v>
      </c>
      <c r="C43" s="74" t="s">
        <v>84</v>
      </c>
      <c r="D43" s="99">
        <v>6</v>
      </c>
      <c r="E43" s="80">
        <v>15</v>
      </c>
      <c r="F43" s="87">
        <v>0</v>
      </c>
      <c r="G43" s="87">
        <v>0</v>
      </c>
      <c r="H43" s="87">
        <v>0</v>
      </c>
      <c r="I43" s="81">
        <f t="shared" si="1"/>
        <v>90</v>
      </c>
      <c r="J43" s="26"/>
    </row>
    <row r="44" spans="2:10" s="3" customFormat="1" ht="20.100000000000001" customHeight="1" x14ac:dyDescent="0.25">
      <c r="B44" s="97">
        <v>3.15</v>
      </c>
      <c r="C44" s="74" t="s">
        <v>85</v>
      </c>
      <c r="D44" s="99">
        <v>4</v>
      </c>
      <c r="E44" s="80">
        <v>15</v>
      </c>
      <c r="F44" s="87">
        <v>0</v>
      </c>
      <c r="G44" s="87">
        <v>0</v>
      </c>
      <c r="H44" s="87">
        <v>0</v>
      </c>
      <c r="I44" s="81">
        <f t="shared" si="1"/>
        <v>60</v>
      </c>
      <c r="J44" s="26"/>
    </row>
    <row r="45" spans="2:10" s="3" customFormat="1" ht="20.100000000000001" customHeight="1" x14ac:dyDescent="0.25">
      <c r="B45" s="97">
        <v>3.16</v>
      </c>
      <c r="C45" s="74" t="s">
        <v>86</v>
      </c>
      <c r="D45" s="99">
        <v>6</v>
      </c>
      <c r="E45" s="80">
        <v>15</v>
      </c>
      <c r="F45" s="87">
        <v>0</v>
      </c>
      <c r="G45" s="87">
        <v>0</v>
      </c>
      <c r="H45" s="87">
        <v>0</v>
      </c>
      <c r="I45" s="81">
        <f t="shared" si="1"/>
        <v>90</v>
      </c>
      <c r="J45" s="26"/>
    </row>
    <row r="46" spans="2:10" s="3" customFormat="1" ht="20.100000000000001" customHeight="1" x14ac:dyDescent="0.25">
      <c r="B46" s="97">
        <v>3.17</v>
      </c>
      <c r="C46" s="74" t="s">
        <v>87</v>
      </c>
      <c r="D46" s="99">
        <v>4</v>
      </c>
      <c r="E46" s="80">
        <v>10</v>
      </c>
      <c r="F46" s="87">
        <v>0</v>
      </c>
      <c r="G46" s="87">
        <v>0</v>
      </c>
      <c r="H46" s="87">
        <v>0</v>
      </c>
      <c r="I46" s="81">
        <f t="shared" si="1"/>
        <v>40</v>
      </c>
      <c r="J46" s="26"/>
    </row>
    <row r="47" spans="2:10" s="3" customFormat="1" ht="20.100000000000001" customHeight="1" x14ac:dyDescent="0.25">
      <c r="B47" s="97">
        <v>3.18</v>
      </c>
      <c r="C47" s="74" t="s">
        <v>88</v>
      </c>
      <c r="D47" s="99">
        <v>8</v>
      </c>
      <c r="E47" s="80">
        <v>10</v>
      </c>
      <c r="F47" s="87">
        <v>0</v>
      </c>
      <c r="G47" s="87">
        <v>0</v>
      </c>
      <c r="H47" s="87">
        <v>0</v>
      </c>
      <c r="I47" s="81">
        <f t="shared" si="1"/>
        <v>80</v>
      </c>
      <c r="J47" s="26"/>
    </row>
    <row r="48" spans="2:10" s="3" customFormat="1" ht="20.100000000000001" customHeight="1" x14ac:dyDescent="0.25">
      <c r="B48" s="97">
        <v>3.19</v>
      </c>
      <c r="C48" s="74" t="s">
        <v>89</v>
      </c>
      <c r="D48" s="99">
        <v>6</v>
      </c>
      <c r="E48" s="80">
        <v>10</v>
      </c>
      <c r="F48" s="87">
        <v>0</v>
      </c>
      <c r="G48" s="87">
        <v>0</v>
      </c>
      <c r="H48" s="87">
        <v>0</v>
      </c>
      <c r="I48" s="81">
        <f t="shared" si="1"/>
        <v>60</v>
      </c>
      <c r="J48" s="26"/>
    </row>
    <row r="49" spans="2:10" s="3" customFormat="1" ht="20.100000000000001" customHeight="1" x14ac:dyDescent="0.25">
      <c r="B49" s="154">
        <v>3.2</v>
      </c>
      <c r="C49" s="74" t="s">
        <v>90</v>
      </c>
      <c r="D49" s="99">
        <v>8</v>
      </c>
      <c r="E49" s="80">
        <v>10</v>
      </c>
      <c r="F49" s="87">
        <v>0</v>
      </c>
      <c r="G49" s="87">
        <v>0</v>
      </c>
      <c r="H49" s="87">
        <v>0</v>
      </c>
      <c r="I49" s="81">
        <f t="shared" si="1"/>
        <v>80</v>
      </c>
      <c r="J49" s="26"/>
    </row>
    <row r="50" spans="2:10" s="3" customFormat="1" ht="20.100000000000001" customHeight="1" x14ac:dyDescent="0.25">
      <c r="B50" s="97">
        <v>3.21</v>
      </c>
      <c r="C50" s="74" t="s">
        <v>91</v>
      </c>
      <c r="D50" s="99">
        <v>6</v>
      </c>
      <c r="E50" s="80">
        <v>10</v>
      </c>
      <c r="F50" s="87">
        <v>0</v>
      </c>
      <c r="G50" s="87">
        <v>0</v>
      </c>
      <c r="H50" s="87">
        <v>0</v>
      </c>
      <c r="I50" s="81">
        <f t="shared" si="1"/>
        <v>60</v>
      </c>
      <c r="J50" s="26"/>
    </row>
    <row r="51" spans="2:10" s="3" customFormat="1" ht="20.100000000000001" customHeight="1" x14ac:dyDescent="0.25">
      <c r="B51" s="97">
        <v>3.22</v>
      </c>
      <c r="C51" s="74" t="s">
        <v>92</v>
      </c>
      <c r="D51" s="99">
        <v>4</v>
      </c>
      <c r="E51" s="80">
        <v>10</v>
      </c>
      <c r="F51" s="87">
        <v>0</v>
      </c>
      <c r="G51" s="87">
        <v>0</v>
      </c>
      <c r="H51" s="87">
        <v>0</v>
      </c>
      <c r="I51" s="81">
        <f t="shared" si="1"/>
        <v>40</v>
      </c>
      <c r="J51" s="26"/>
    </row>
    <row r="52" spans="2:10" s="3" customFormat="1" ht="20.100000000000001" customHeight="1" x14ac:dyDescent="0.25">
      <c r="B52" s="97">
        <v>3.23</v>
      </c>
      <c r="C52" s="74" t="s">
        <v>93</v>
      </c>
      <c r="D52" s="99">
        <v>4</v>
      </c>
      <c r="E52" s="80">
        <v>15</v>
      </c>
      <c r="F52" s="87">
        <v>0</v>
      </c>
      <c r="G52" s="87">
        <v>0</v>
      </c>
      <c r="H52" s="87">
        <v>0</v>
      </c>
      <c r="I52" s="81">
        <f t="shared" si="1"/>
        <v>60</v>
      </c>
      <c r="J52" s="26"/>
    </row>
    <row r="53" spans="2:10" s="3" customFormat="1" ht="20.100000000000001" customHeight="1" x14ac:dyDescent="0.25">
      <c r="B53" s="97">
        <v>3.24</v>
      </c>
      <c r="C53" s="74" t="s">
        <v>94</v>
      </c>
      <c r="D53" s="99">
        <v>2</v>
      </c>
      <c r="E53" s="80">
        <v>10</v>
      </c>
      <c r="F53" s="87">
        <v>0</v>
      </c>
      <c r="G53" s="87">
        <v>0</v>
      </c>
      <c r="H53" s="87">
        <v>0</v>
      </c>
      <c r="I53" s="81">
        <f t="shared" si="1"/>
        <v>20</v>
      </c>
      <c r="J53" s="26"/>
    </row>
    <row r="54" spans="2:10" s="3" customFormat="1" ht="20.100000000000001" customHeight="1" x14ac:dyDescent="0.25">
      <c r="B54" s="97">
        <v>3.25</v>
      </c>
      <c r="C54" s="74" t="s">
        <v>95</v>
      </c>
      <c r="D54" s="99">
        <v>2</v>
      </c>
      <c r="E54" s="80">
        <v>15</v>
      </c>
      <c r="F54" s="87">
        <v>0</v>
      </c>
      <c r="G54" s="87">
        <v>0</v>
      </c>
      <c r="H54" s="87">
        <v>0</v>
      </c>
      <c r="I54" s="81">
        <f t="shared" si="1"/>
        <v>30</v>
      </c>
      <c r="J54" s="26"/>
    </row>
    <row r="55" spans="2:10" s="3" customFormat="1" ht="20.100000000000001" customHeight="1" x14ac:dyDescent="0.25">
      <c r="B55" s="97">
        <v>3.26</v>
      </c>
      <c r="C55" s="74" t="s">
        <v>96</v>
      </c>
      <c r="D55" s="99">
        <v>6</v>
      </c>
      <c r="E55" s="80">
        <v>10</v>
      </c>
      <c r="F55" s="87">
        <v>0</v>
      </c>
      <c r="G55" s="87">
        <v>0</v>
      </c>
      <c r="H55" s="87">
        <v>0</v>
      </c>
      <c r="I55" s="81">
        <f t="shared" si="1"/>
        <v>60</v>
      </c>
      <c r="J55" s="26"/>
    </row>
    <row r="56" spans="2:10" s="3" customFormat="1" ht="19.8" customHeight="1" x14ac:dyDescent="0.25">
      <c r="B56" s="97">
        <v>3.27</v>
      </c>
      <c r="C56" s="74" t="s">
        <v>97</v>
      </c>
      <c r="D56" s="99">
        <v>4</v>
      </c>
      <c r="E56" s="80">
        <v>10</v>
      </c>
      <c r="F56" s="87">
        <v>0</v>
      </c>
      <c r="G56" s="87">
        <v>0</v>
      </c>
      <c r="H56" s="87">
        <v>0</v>
      </c>
      <c r="I56" s="81">
        <f t="shared" si="1"/>
        <v>40</v>
      </c>
      <c r="J56" s="26"/>
    </row>
    <row r="57" spans="2:10" ht="19.5" customHeight="1" x14ac:dyDescent="0.25">
      <c r="B57" s="39"/>
      <c r="C57" s="9" t="s">
        <v>1</v>
      </c>
      <c r="D57" s="19">
        <f>SUM(D30:D56)</f>
        <v>146</v>
      </c>
      <c r="E57" s="88"/>
      <c r="F57" s="88">
        <f>SUM(F30:F56)</f>
        <v>0</v>
      </c>
      <c r="G57" s="88">
        <f>SUM(G30:G56)</f>
        <v>0</v>
      </c>
      <c r="H57" s="88">
        <f>SUM(H30:H56)</f>
        <v>0</v>
      </c>
      <c r="I57" s="88">
        <f>SUM(I30:I56)</f>
        <v>1930</v>
      </c>
      <c r="J57" s="30"/>
    </row>
    <row r="58" spans="2:10" s="26" customFormat="1" ht="20.100000000000001" customHeight="1" x14ac:dyDescent="0.25">
      <c r="B58" s="7">
        <v>4</v>
      </c>
      <c r="C58" s="4" t="s">
        <v>64</v>
      </c>
      <c r="D58" s="40"/>
      <c r="E58" s="89"/>
      <c r="F58" s="89"/>
      <c r="G58" s="89"/>
      <c r="H58" s="89"/>
      <c r="I58" s="90"/>
    </row>
    <row r="59" spans="2:10" s="3" customFormat="1" ht="20.100000000000001" customHeight="1" x14ac:dyDescent="0.25">
      <c r="B59" s="97">
        <v>4.0999999999999996</v>
      </c>
      <c r="C59" s="72" t="s">
        <v>131</v>
      </c>
      <c r="D59" s="100">
        <v>2</v>
      </c>
      <c r="E59" s="80">
        <v>10</v>
      </c>
      <c r="F59" s="91">
        <v>0</v>
      </c>
      <c r="G59" s="91">
        <v>0</v>
      </c>
      <c r="H59" s="91">
        <v>0</v>
      </c>
      <c r="I59" s="81">
        <f>(D59*E59)+F59+G59+H59</f>
        <v>20</v>
      </c>
      <c r="J59" s="26"/>
    </row>
    <row r="60" spans="2:10" s="3" customFormat="1" ht="20.100000000000001" customHeight="1" x14ac:dyDescent="0.25">
      <c r="B60" s="97">
        <v>4.2</v>
      </c>
      <c r="C60" s="72" t="s">
        <v>132</v>
      </c>
      <c r="D60" s="98">
        <v>3</v>
      </c>
      <c r="E60" s="80">
        <v>15</v>
      </c>
      <c r="F60" s="91">
        <v>0</v>
      </c>
      <c r="G60" s="91">
        <v>0</v>
      </c>
      <c r="H60" s="91">
        <v>0</v>
      </c>
      <c r="I60" s="81">
        <f t="shared" ref="I60:I65" si="2">(D60*E60)+F60+G60+H60</f>
        <v>45</v>
      </c>
      <c r="J60" s="26"/>
    </row>
    <row r="61" spans="2:10" s="3" customFormat="1" ht="20.100000000000001" customHeight="1" x14ac:dyDescent="0.25">
      <c r="B61" s="97">
        <v>4.3</v>
      </c>
      <c r="C61" s="72" t="s">
        <v>133</v>
      </c>
      <c r="D61" s="98">
        <v>2</v>
      </c>
      <c r="E61" s="80">
        <v>10</v>
      </c>
      <c r="F61" s="80">
        <v>0</v>
      </c>
      <c r="G61" s="91">
        <v>0</v>
      </c>
      <c r="H61" s="91">
        <v>0</v>
      </c>
      <c r="I61" s="81">
        <f t="shared" si="2"/>
        <v>20</v>
      </c>
      <c r="J61" s="26"/>
    </row>
    <row r="62" spans="2:10" s="3" customFormat="1" ht="20.100000000000001" customHeight="1" x14ac:dyDescent="0.25">
      <c r="B62" s="97">
        <v>4.4000000000000004</v>
      </c>
      <c r="C62" s="72" t="s">
        <v>135</v>
      </c>
      <c r="D62" s="98">
        <v>3</v>
      </c>
      <c r="E62" s="80">
        <v>15</v>
      </c>
      <c r="F62" s="80">
        <v>0</v>
      </c>
      <c r="G62" s="91">
        <v>0</v>
      </c>
      <c r="H62" s="91">
        <v>0</v>
      </c>
      <c r="I62" s="81">
        <f t="shared" si="2"/>
        <v>45</v>
      </c>
      <c r="J62" s="26"/>
    </row>
    <row r="63" spans="2:10" s="3" customFormat="1" ht="20.100000000000001" customHeight="1" x14ac:dyDescent="0.25">
      <c r="B63" s="97">
        <v>4.5</v>
      </c>
      <c r="C63" s="72" t="s">
        <v>134</v>
      </c>
      <c r="D63" s="98">
        <v>2</v>
      </c>
      <c r="E63" s="80">
        <v>10</v>
      </c>
      <c r="F63" s="80">
        <v>0</v>
      </c>
      <c r="G63" s="91">
        <v>0</v>
      </c>
      <c r="H63" s="91">
        <v>0</v>
      </c>
      <c r="I63" s="81">
        <f t="shared" si="2"/>
        <v>20</v>
      </c>
      <c r="J63" s="26"/>
    </row>
    <row r="64" spans="2:10" s="3" customFormat="1" ht="20.100000000000001" customHeight="1" x14ac:dyDescent="0.25">
      <c r="B64" s="97">
        <v>4.5999999999999996</v>
      </c>
      <c r="C64" s="72" t="s">
        <v>136</v>
      </c>
      <c r="D64" s="98">
        <v>3</v>
      </c>
      <c r="E64" s="80">
        <v>15</v>
      </c>
      <c r="F64" s="80">
        <v>0</v>
      </c>
      <c r="G64" s="91">
        <v>0</v>
      </c>
      <c r="H64" s="91">
        <v>0</v>
      </c>
      <c r="I64" s="81">
        <f t="shared" si="2"/>
        <v>45</v>
      </c>
      <c r="J64" s="26"/>
    </row>
    <row r="65" spans="1:10" s="3" customFormat="1" ht="20.100000000000001" customHeight="1" x14ac:dyDescent="0.25">
      <c r="B65" s="97">
        <v>4.7</v>
      </c>
      <c r="C65" s="72" t="s">
        <v>138</v>
      </c>
      <c r="D65" s="98">
        <v>2</v>
      </c>
      <c r="E65" s="80">
        <v>10</v>
      </c>
      <c r="F65" s="80">
        <v>0</v>
      </c>
      <c r="G65" s="91">
        <v>0</v>
      </c>
      <c r="H65" s="91">
        <v>0</v>
      </c>
      <c r="I65" s="81">
        <f t="shared" si="2"/>
        <v>20</v>
      </c>
      <c r="J65" s="26"/>
    </row>
    <row r="66" spans="1:10" s="3" customFormat="1" ht="20.100000000000001" customHeight="1" x14ac:dyDescent="0.25">
      <c r="B66" s="97">
        <v>4.8</v>
      </c>
      <c r="C66" s="72" t="s">
        <v>137</v>
      </c>
      <c r="D66" s="98">
        <v>3</v>
      </c>
      <c r="E66" s="80">
        <v>15</v>
      </c>
      <c r="F66" s="80">
        <v>0</v>
      </c>
      <c r="G66" s="80">
        <v>0</v>
      </c>
      <c r="H66" s="80">
        <v>0</v>
      </c>
      <c r="I66" s="81">
        <f>(D66*E66)+F66+G66+H66</f>
        <v>45</v>
      </c>
      <c r="J66" s="26"/>
    </row>
    <row r="67" spans="1:10" s="10" customFormat="1" ht="20.100000000000001" customHeight="1" x14ac:dyDescent="0.25">
      <c r="B67" s="8"/>
      <c r="C67" s="9" t="s">
        <v>1</v>
      </c>
      <c r="D67" s="12">
        <f>SUM(D59:D66)</f>
        <v>20</v>
      </c>
      <c r="E67" s="82"/>
      <c r="F67" s="82">
        <f>SUM(F59:F66)</f>
        <v>0</v>
      </c>
      <c r="G67" s="82">
        <f>SUM(G59:G66)</f>
        <v>0</v>
      </c>
      <c r="H67" s="82">
        <f>SUM(H59:H66)</f>
        <v>0</v>
      </c>
      <c r="I67" s="82">
        <f>SUM(I59:I66)</f>
        <v>260</v>
      </c>
      <c r="J67" s="27"/>
    </row>
    <row r="68" spans="1:10" s="10" customFormat="1" ht="20.100000000000001" customHeight="1" x14ac:dyDescent="0.25">
      <c r="A68" s="26"/>
      <c r="B68" s="7">
        <v>5</v>
      </c>
      <c r="C68" s="4" t="s">
        <v>100</v>
      </c>
      <c r="D68" s="40"/>
      <c r="E68" s="89"/>
      <c r="F68" s="89"/>
      <c r="G68" s="89"/>
      <c r="H68" s="89"/>
      <c r="I68" s="90"/>
      <c r="J68" s="27"/>
    </row>
    <row r="69" spans="1:10" s="10" customFormat="1" ht="20.100000000000001" customHeight="1" x14ac:dyDescent="0.25">
      <c r="A69" s="3"/>
      <c r="B69" s="97">
        <v>5.0999999999999996</v>
      </c>
      <c r="C69" s="72" t="s">
        <v>101</v>
      </c>
      <c r="D69" s="98">
        <v>3</v>
      </c>
      <c r="E69" s="80">
        <v>10</v>
      </c>
      <c r="F69" s="80">
        <v>0</v>
      </c>
      <c r="G69" s="80">
        <v>0</v>
      </c>
      <c r="H69" s="80">
        <v>0</v>
      </c>
      <c r="I69" s="81">
        <f>(D69*E69)+F69+G69+H69</f>
        <v>30</v>
      </c>
      <c r="J69" s="27"/>
    </row>
    <row r="70" spans="1:10" s="10" customFormat="1" ht="20.100000000000001" customHeight="1" x14ac:dyDescent="0.25">
      <c r="A70" s="3"/>
      <c r="B70" s="97">
        <v>5.2</v>
      </c>
      <c r="C70" s="72" t="s">
        <v>105</v>
      </c>
      <c r="D70" s="98">
        <v>2</v>
      </c>
      <c r="E70" s="80">
        <v>15</v>
      </c>
      <c r="F70" s="80">
        <v>0</v>
      </c>
      <c r="G70" s="80">
        <v>0</v>
      </c>
      <c r="H70" s="80">
        <v>0</v>
      </c>
      <c r="I70" s="81">
        <f>(D70*E70)+F70+G70+H70</f>
        <v>30</v>
      </c>
      <c r="J70" s="27"/>
    </row>
    <row r="71" spans="1:10" s="10" customFormat="1" ht="20.100000000000001" customHeight="1" x14ac:dyDescent="0.25">
      <c r="B71" s="8"/>
      <c r="C71" s="9" t="s">
        <v>1</v>
      </c>
      <c r="D71" s="12">
        <f>SUM(D69:D70)</f>
        <v>5</v>
      </c>
      <c r="E71" s="82"/>
      <c r="F71" s="82">
        <f>SUM(F69:F70)</f>
        <v>0</v>
      </c>
      <c r="G71" s="82">
        <f>SUM(G69:G70)</f>
        <v>0</v>
      </c>
      <c r="H71" s="82">
        <f>SUM(H69:H70)</f>
        <v>0</v>
      </c>
      <c r="I71" s="82">
        <f>SUM(I69:I70)</f>
        <v>60</v>
      </c>
      <c r="J71" s="27"/>
    </row>
    <row r="72" spans="1:10" s="10" customFormat="1" ht="20.100000000000001" customHeight="1" x14ac:dyDescent="0.25">
      <c r="A72" s="26"/>
      <c r="B72" s="7">
        <v>6</v>
      </c>
      <c r="C72" s="4" t="s">
        <v>65</v>
      </c>
      <c r="D72" s="40"/>
      <c r="E72" s="89"/>
      <c r="F72" s="89"/>
      <c r="G72" s="89"/>
      <c r="H72" s="89"/>
      <c r="I72" s="90"/>
      <c r="J72" s="27"/>
    </row>
    <row r="73" spans="1:10" s="10" customFormat="1" ht="20.100000000000001" customHeight="1" x14ac:dyDescent="0.25">
      <c r="A73" s="3"/>
      <c r="B73" s="97">
        <v>6.1</v>
      </c>
      <c r="C73" s="72" t="s">
        <v>66</v>
      </c>
      <c r="D73" s="100">
        <v>1</v>
      </c>
      <c r="E73" s="80">
        <v>10</v>
      </c>
      <c r="F73" s="91">
        <v>0</v>
      </c>
      <c r="G73" s="91">
        <v>0</v>
      </c>
      <c r="H73" s="91">
        <v>0</v>
      </c>
      <c r="I73" s="81">
        <f>(D73*E73)+F73+G73+H73</f>
        <v>10</v>
      </c>
      <c r="J73" s="27"/>
    </row>
    <row r="74" spans="1:10" s="10" customFormat="1" ht="20.100000000000001" customHeight="1" x14ac:dyDescent="0.25">
      <c r="A74" s="3"/>
      <c r="B74" s="97">
        <v>6.2</v>
      </c>
      <c r="C74" s="72" t="s">
        <v>102</v>
      </c>
      <c r="D74" s="98">
        <v>2</v>
      </c>
      <c r="E74" s="80">
        <v>10</v>
      </c>
      <c r="F74" s="80">
        <v>0</v>
      </c>
      <c r="G74" s="80">
        <v>0</v>
      </c>
      <c r="H74" s="80">
        <v>0</v>
      </c>
      <c r="I74" s="81">
        <f>(D74*E74)+F74+G74+H74</f>
        <v>20</v>
      </c>
      <c r="J74" s="27"/>
    </row>
    <row r="75" spans="1:10" s="10" customFormat="1" ht="20.100000000000001" customHeight="1" x14ac:dyDescent="0.25">
      <c r="B75" s="8"/>
      <c r="C75" s="9" t="s">
        <v>1</v>
      </c>
      <c r="D75" s="12">
        <f>SUM(D73:D74)</f>
        <v>3</v>
      </c>
      <c r="E75" s="82"/>
      <c r="F75" s="82">
        <f>SUM(F73:F74)</f>
        <v>0</v>
      </c>
      <c r="G75" s="82">
        <f>SUM(G73:G74)</f>
        <v>0</v>
      </c>
      <c r="H75" s="82">
        <f>SUM(H73:H74)</f>
        <v>0</v>
      </c>
      <c r="I75" s="82">
        <f>SUM(I73:I74)</f>
        <v>30</v>
      </c>
      <c r="J75" s="27"/>
    </row>
    <row r="76" spans="1:10" s="10" customFormat="1" ht="20.100000000000001" customHeight="1" x14ac:dyDescent="0.25">
      <c r="B76" s="28" t="s">
        <v>50</v>
      </c>
      <c r="C76" s="70" t="s">
        <v>103</v>
      </c>
      <c r="D76" s="24">
        <v>0</v>
      </c>
      <c r="E76" s="92">
        <v>0</v>
      </c>
      <c r="F76" s="92">
        <v>0</v>
      </c>
      <c r="G76" s="92">
        <v>0</v>
      </c>
      <c r="H76" s="92">
        <v>30</v>
      </c>
      <c r="I76" s="81">
        <f>(D76*E76)+F76+G76+H76</f>
        <v>30</v>
      </c>
      <c r="J76" s="27"/>
    </row>
    <row r="77" spans="1:10" s="10" customFormat="1" ht="20.100000000000001" customHeight="1" x14ac:dyDescent="0.25">
      <c r="B77" s="28" t="s">
        <v>51</v>
      </c>
      <c r="C77" s="71" t="s">
        <v>104</v>
      </c>
      <c r="D77" s="24">
        <v>0</v>
      </c>
      <c r="E77" s="92">
        <v>0</v>
      </c>
      <c r="F77" s="92">
        <v>0</v>
      </c>
      <c r="G77" s="92">
        <v>0</v>
      </c>
      <c r="H77" s="92">
        <v>5</v>
      </c>
      <c r="I77" s="81">
        <f>(D77*E77)+F77+G77+H77</f>
        <v>5</v>
      </c>
      <c r="J77" s="27"/>
    </row>
    <row r="78" spans="1:10" s="3" customFormat="1" ht="20.100000000000001" customHeight="1" x14ac:dyDescent="0.25">
      <c r="B78" s="113" t="s">
        <v>22</v>
      </c>
      <c r="C78" s="114"/>
      <c r="D78" s="11">
        <f>SUM(D21,D28,D57,D67,D76,D77)</f>
        <v>186</v>
      </c>
      <c r="E78" s="93"/>
      <c r="F78" s="93">
        <f>SUM(F21,F28,F57,F67,F76,F77)</f>
        <v>0</v>
      </c>
      <c r="G78" s="93">
        <f>SUM(G21,G28,G57,G67,G76,G77)</f>
        <v>0</v>
      </c>
      <c r="H78" s="93">
        <f>SUM(H21,H28,H57,H67,H76,H77)</f>
        <v>35</v>
      </c>
      <c r="I78" s="93">
        <f>SUM(I21,I28,I57,I67,I76,I77)</f>
        <v>2482.5</v>
      </c>
      <c r="J78" s="26"/>
    </row>
    <row r="79" spans="1:10" s="3" customFormat="1" ht="20.100000000000001" customHeight="1" x14ac:dyDescent="0.25">
      <c r="B79" s="111" t="s">
        <v>23</v>
      </c>
      <c r="C79" s="112"/>
      <c r="D79" s="14">
        <v>10</v>
      </c>
      <c r="E79" s="80">
        <v>25</v>
      </c>
      <c r="F79" s="80">
        <v>0</v>
      </c>
      <c r="G79" s="80">
        <v>0</v>
      </c>
      <c r="H79" s="80">
        <v>0</v>
      </c>
      <c r="I79" s="81">
        <f>(D79*E79)+F79+G79+H79</f>
        <v>250</v>
      </c>
      <c r="J79" s="26"/>
    </row>
    <row r="80" spans="1:10" s="3" customFormat="1" ht="20.100000000000001" customHeight="1" x14ac:dyDescent="0.25">
      <c r="B80" s="109" t="s">
        <v>24</v>
      </c>
      <c r="C80" s="110"/>
      <c r="D80" s="11">
        <f>SUM(D78,D79)</f>
        <v>196</v>
      </c>
      <c r="E80" s="93"/>
      <c r="F80" s="93">
        <f>SUM(F78,F79)</f>
        <v>0</v>
      </c>
      <c r="G80" s="93">
        <f>SUM(G78,G79)</f>
        <v>0</v>
      </c>
      <c r="H80" s="93">
        <f>SUM(H78,H79)</f>
        <v>35</v>
      </c>
      <c r="I80" s="93">
        <f>SUM(I78:I79)</f>
        <v>2732.5</v>
      </c>
      <c r="J80" s="26"/>
    </row>
    <row r="81" spans="2:10" ht="39.75" customHeight="1" x14ac:dyDescent="0.25">
      <c r="B81" s="69" t="s">
        <v>25</v>
      </c>
      <c r="C81" s="107"/>
      <c r="D81" s="107"/>
      <c r="E81" s="107"/>
      <c r="F81" s="107"/>
      <c r="G81" s="107"/>
      <c r="H81" s="107"/>
      <c r="I81" s="108"/>
      <c r="J81" s="30"/>
    </row>
    <row r="82" spans="2:10" x14ac:dyDescent="0.25">
      <c r="J82" s="30"/>
    </row>
    <row r="83" spans="2:10" x14ac:dyDescent="0.25">
      <c r="J83" s="30"/>
    </row>
    <row r="84" spans="2:10" x14ac:dyDescent="0.25">
      <c r="B84" s="43"/>
      <c r="J84" s="30"/>
    </row>
    <row r="85" spans="2:10" x14ac:dyDescent="0.25">
      <c r="J85" s="30"/>
    </row>
    <row r="86" spans="2:10" x14ac:dyDescent="0.25">
      <c r="J86" s="30"/>
    </row>
  </sheetData>
  <mergeCells count="18">
    <mergeCell ref="B9:I9"/>
    <mergeCell ref="D10:D11"/>
    <mergeCell ref="B6:I6"/>
    <mergeCell ref="E10:E11"/>
    <mergeCell ref="B8:I8"/>
    <mergeCell ref="G10:G11"/>
    <mergeCell ref="H10:H11"/>
    <mergeCell ref="I10:I11"/>
    <mergeCell ref="C81:I81"/>
    <mergeCell ref="B80:C80"/>
    <mergeCell ref="B79:C79"/>
    <mergeCell ref="B78:C78"/>
    <mergeCell ref="B2:I2"/>
    <mergeCell ref="F10:F11"/>
    <mergeCell ref="B7:I7"/>
    <mergeCell ref="B5:I5"/>
    <mergeCell ref="D3:I4"/>
    <mergeCell ref="B10:C11"/>
  </mergeCells>
  <phoneticPr fontId="0" type="noConversion"/>
  <pageMargins left="0.75" right="0.75" top="1" bottom="1" header="0.5" footer="0.5"/>
  <pageSetup scale="95" orientation="landscape" r:id="rId1"/>
  <headerFooter alignWithMargins="0">
    <oddHeader>&amp;C&amp;"Arial,Bold"&amp;14Project Budget Form&amp;R&amp;"Arial,Bold"&amp;12Your Organization
Name Here</oddHeader>
    <oddFooter>&amp;L&amp;8Project Budget Form Rev. 2.2, 08/30/2004&amp;CPage &amp;P of &amp;N&amp;RPrint Date: &amp;D</oddFooter>
  </headerFooter>
  <rowBreaks count="1" manualBreakCount="1">
    <brk id="28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620C7-83C0-4BAD-9EFC-7E0D7B4C6EA7}">
  <dimension ref="A1:IV66"/>
  <sheetViews>
    <sheetView topLeftCell="A30" zoomScaleNormal="100" workbookViewId="0">
      <selection activeCell="C30" sqref="C30"/>
    </sheetView>
  </sheetViews>
  <sheetFormatPr baseColWidth="10" defaultColWidth="9.109375" defaultRowHeight="13.2" x14ac:dyDescent="0.25"/>
  <cols>
    <col min="1" max="1" width="35" style="16" customWidth="1"/>
    <col min="2" max="2" width="13.5546875" style="16" customWidth="1"/>
    <col min="3" max="3" width="17.109375" style="16" customWidth="1"/>
    <col min="4" max="4" width="45.44140625" style="16" customWidth="1"/>
    <col min="5" max="16384" width="9.109375" style="16"/>
  </cols>
  <sheetData>
    <row r="1" spans="1:256" x14ac:dyDescent="0.25">
      <c r="A1" s="138"/>
      <c r="B1" s="138"/>
      <c r="C1" s="138"/>
      <c r="D1" s="138"/>
      <c r="E1" s="52"/>
      <c r="F1" s="52"/>
      <c r="G1" s="52"/>
      <c r="H1" s="52"/>
      <c r="I1" s="30"/>
    </row>
    <row r="2" spans="1:256" ht="58.5" customHeight="1" x14ac:dyDescent="0.25">
      <c r="A2" s="115" t="s">
        <v>47</v>
      </c>
      <c r="B2" s="140"/>
      <c r="C2" s="140"/>
      <c r="D2" s="140"/>
    </row>
    <row r="3" spans="1:256" ht="18.75" customHeight="1" x14ac:dyDescent="0.25">
      <c r="A3" s="23" t="s">
        <v>11</v>
      </c>
      <c r="B3" s="139" t="str">
        <f>'Fuentes de Costos del Proyecto'!C3</f>
        <v>Sistema Generación de Horarios Academicos</v>
      </c>
      <c r="C3" s="139"/>
      <c r="D3" s="128"/>
    </row>
    <row r="4" spans="1:256" s="30" customFormat="1" ht="16.5" customHeight="1" x14ac:dyDescent="0.25">
      <c r="A4" s="23" t="s">
        <v>43</v>
      </c>
      <c r="B4" s="139" t="str">
        <f>'Fuentes de Costos del Proyecto'!C4</f>
        <v>Sulla Corbetta Jose Luis</v>
      </c>
      <c r="C4" s="139"/>
      <c r="D4" s="141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</row>
    <row r="5" spans="1:256" ht="16.5" customHeight="1" x14ac:dyDescent="0.25">
      <c r="A5" s="124"/>
      <c r="B5" s="125"/>
      <c r="C5" s="125"/>
      <c r="D5" s="125"/>
    </row>
    <row r="6" spans="1:256" x14ac:dyDescent="0.25">
      <c r="A6" s="65" t="s">
        <v>9</v>
      </c>
      <c r="B6" s="66"/>
      <c r="C6" s="66"/>
      <c r="D6" s="67"/>
    </row>
    <row r="7" spans="1:256" x14ac:dyDescent="0.25">
      <c r="A7" s="65" t="s">
        <v>15</v>
      </c>
      <c r="B7" s="66"/>
      <c r="C7" s="66"/>
      <c r="D7" s="67"/>
    </row>
    <row r="8" spans="1:256" ht="21" customHeight="1" x14ac:dyDescent="0.25">
      <c r="A8" s="50" t="s">
        <v>0</v>
      </c>
      <c r="B8" s="51" t="s">
        <v>27</v>
      </c>
      <c r="C8" s="51" t="s">
        <v>28</v>
      </c>
      <c r="D8" s="51" t="s">
        <v>48</v>
      </c>
    </row>
    <row r="9" spans="1:256" ht="13.8" x14ac:dyDescent="0.25">
      <c r="A9" s="29" t="s">
        <v>29</v>
      </c>
      <c r="B9" s="48"/>
      <c r="C9" s="49"/>
      <c r="D9" s="47"/>
    </row>
    <row r="10" spans="1:256" s="33" customFormat="1" ht="13.8" x14ac:dyDescent="0.25">
      <c r="A10" s="72" t="s">
        <v>56</v>
      </c>
      <c r="B10" s="96">
        <v>46097</v>
      </c>
      <c r="C10" s="31">
        <v>10</v>
      </c>
      <c r="D10" s="32" t="s">
        <v>106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</row>
    <row r="11" spans="1:256" s="33" customFormat="1" ht="13.8" x14ac:dyDescent="0.25">
      <c r="A11" s="72" t="s">
        <v>54</v>
      </c>
      <c r="B11" s="96">
        <v>46099</v>
      </c>
      <c r="C11" s="31">
        <v>10</v>
      </c>
      <c r="D11" s="32" t="s">
        <v>106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</row>
    <row r="12" spans="1:256" s="33" customFormat="1" ht="13.8" x14ac:dyDescent="0.25">
      <c r="A12" s="94" t="s">
        <v>55</v>
      </c>
      <c r="B12" s="96">
        <v>46098</v>
      </c>
      <c r="C12" s="31">
        <v>15</v>
      </c>
      <c r="D12" s="32" t="s">
        <v>106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</row>
    <row r="13" spans="1:256" s="33" customFormat="1" ht="13.8" x14ac:dyDescent="0.25">
      <c r="A13" s="72" t="s">
        <v>57</v>
      </c>
      <c r="B13" s="96">
        <v>46098</v>
      </c>
      <c r="C13" s="31">
        <v>10</v>
      </c>
      <c r="D13" s="32" t="s">
        <v>106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</row>
    <row r="14" spans="1:256" s="33" customFormat="1" ht="13.8" x14ac:dyDescent="0.25">
      <c r="A14" s="72" t="s">
        <v>58</v>
      </c>
      <c r="B14" s="96">
        <v>46100</v>
      </c>
      <c r="C14" s="31">
        <v>10</v>
      </c>
      <c r="D14" s="32" t="s">
        <v>106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</row>
    <row r="15" spans="1:256" s="33" customFormat="1" ht="13.8" x14ac:dyDescent="0.25">
      <c r="A15" s="72" t="s">
        <v>59</v>
      </c>
      <c r="B15" s="96">
        <v>46097</v>
      </c>
      <c r="C15" s="31">
        <v>5</v>
      </c>
      <c r="D15" s="32" t="s">
        <v>107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</row>
    <row r="16" spans="1:256" s="33" customFormat="1" ht="13.8" x14ac:dyDescent="0.25">
      <c r="A16" s="72" t="s">
        <v>60</v>
      </c>
      <c r="B16" s="96">
        <v>46098</v>
      </c>
      <c r="C16" s="31">
        <v>15</v>
      </c>
      <c r="D16" s="32" t="s">
        <v>106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</row>
    <row r="17" spans="1:256" s="33" customFormat="1" ht="26.4" x14ac:dyDescent="0.25">
      <c r="A17" s="72" t="s">
        <v>61</v>
      </c>
      <c r="B17" s="96">
        <v>46101</v>
      </c>
      <c r="C17" s="31">
        <v>10</v>
      </c>
      <c r="D17" s="32" t="s">
        <v>106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</row>
    <row r="18" spans="1:256" ht="13.8" x14ac:dyDescent="0.25">
      <c r="A18" s="20" t="s">
        <v>1</v>
      </c>
      <c r="B18" s="75"/>
      <c r="C18" s="44">
        <f>SUM(C10:C17)</f>
        <v>85</v>
      </c>
      <c r="D18" s="47"/>
    </row>
    <row r="19" spans="1:256" ht="13.8" x14ac:dyDescent="0.25">
      <c r="A19" s="29" t="s">
        <v>52</v>
      </c>
      <c r="B19" s="76"/>
      <c r="C19" s="49"/>
      <c r="D19" s="47"/>
    </row>
    <row r="20" spans="1:256" ht="15" customHeight="1" x14ac:dyDescent="0.25">
      <c r="A20" s="72" t="s">
        <v>108</v>
      </c>
      <c r="B20" s="96">
        <v>46124</v>
      </c>
      <c r="C20" s="31">
        <v>20</v>
      </c>
      <c r="D20" s="34" t="s">
        <v>109</v>
      </c>
    </row>
    <row r="21" spans="1:256" s="33" customFormat="1" ht="13.8" x14ac:dyDescent="0.25">
      <c r="A21" s="72" t="s">
        <v>68</v>
      </c>
      <c r="B21" s="96">
        <v>46124</v>
      </c>
      <c r="C21" s="31">
        <v>20</v>
      </c>
      <c r="D21" s="32" t="s">
        <v>109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</row>
    <row r="22" spans="1:256" s="33" customFormat="1" ht="13.8" x14ac:dyDescent="0.25">
      <c r="A22" s="72" t="s">
        <v>69</v>
      </c>
      <c r="B22" s="96">
        <v>46124</v>
      </c>
      <c r="C22" s="31">
        <v>10</v>
      </c>
      <c r="D22" s="32" t="s">
        <v>109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</row>
    <row r="23" spans="1:256" s="33" customFormat="1" ht="13.8" x14ac:dyDescent="0.25">
      <c r="A23" s="72" t="s">
        <v>62</v>
      </c>
      <c r="B23" s="96">
        <v>46124</v>
      </c>
      <c r="C23" s="31">
        <v>30</v>
      </c>
      <c r="D23" s="32" t="s">
        <v>109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</row>
    <row r="24" spans="1:256" s="33" customFormat="1" ht="13.8" x14ac:dyDescent="0.25">
      <c r="A24" s="72" t="s">
        <v>63</v>
      </c>
      <c r="B24" s="96">
        <v>46124</v>
      </c>
      <c r="C24" s="31">
        <v>30</v>
      </c>
      <c r="D24" s="32" t="s">
        <v>109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</row>
    <row r="25" spans="1:256" ht="13.8" x14ac:dyDescent="0.25">
      <c r="A25" s="72" t="s">
        <v>70</v>
      </c>
      <c r="B25" s="96">
        <v>46124</v>
      </c>
      <c r="C25" s="31">
        <v>15</v>
      </c>
      <c r="D25" s="34" t="s">
        <v>109</v>
      </c>
    </row>
    <row r="26" spans="1:256" ht="13.8" x14ac:dyDescent="0.25">
      <c r="A26" s="20" t="s">
        <v>1</v>
      </c>
      <c r="B26" s="75"/>
      <c r="C26" s="44">
        <f>SUM(C20:C25)</f>
        <v>125</v>
      </c>
      <c r="D26" s="47"/>
    </row>
    <row r="27" spans="1:256" ht="13.8" x14ac:dyDescent="0.25">
      <c r="A27" s="29" t="s">
        <v>53</v>
      </c>
      <c r="B27" s="76"/>
      <c r="C27" s="49"/>
      <c r="D27" s="47"/>
    </row>
    <row r="28" spans="1:256" ht="13.8" x14ac:dyDescent="0.25">
      <c r="A28" s="72" t="s">
        <v>111</v>
      </c>
      <c r="B28" s="96">
        <v>46128</v>
      </c>
      <c r="C28" s="31">
        <v>120</v>
      </c>
      <c r="D28" s="32" t="s">
        <v>110</v>
      </c>
    </row>
    <row r="29" spans="1:256" ht="13.8" x14ac:dyDescent="0.25">
      <c r="A29" s="72" t="s">
        <v>73</v>
      </c>
      <c r="B29" s="96">
        <v>46130</v>
      </c>
      <c r="C29" s="31">
        <v>90</v>
      </c>
      <c r="D29" s="32" t="s">
        <v>110</v>
      </c>
    </row>
    <row r="30" spans="1:256" ht="13.8" x14ac:dyDescent="0.25">
      <c r="A30" s="72" t="s">
        <v>74</v>
      </c>
      <c r="B30" s="96">
        <v>46132</v>
      </c>
      <c r="C30" s="31">
        <v>60</v>
      </c>
      <c r="D30" s="32" t="s">
        <v>110</v>
      </c>
    </row>
    <row r="31" spans="1:256" ht="13.8" x14ac:dyDescent="0.25">
      <c r="A31" s="72" t="s">
        <v>75</v>
      </c>
      <c r="B31" s="96">
        <v>46134</v>
      </c>
      <c r="C31" s="31">
        <v>90</v>
      </c>
      <c r="D31" s="32" t="s">
        <v>110</v>
      </c>
    </row>
    <row r="32" spans="1:256" ht="26.4" x14ac:dyDescent="0.25">
      <c r="A32" s="72" t="s">
        <v>76</v>
      </c>
      <c r="B32" s="96">
        <v>46136</v>
      </c>
      <c r="C32" s="31">
        <v>60</v>
      </c>
      <c r="D32" s="32" t="s">
        <v>110</v>
      </c>
    </row>
    <row r="33" spans="1:256" ht="13.8" x14ac:dyDescent="0.25">
      <c r="A33" s="72" t="s">
        <v>77</v>
      </c>
      <c r="B33" s="96">
        <v>46143</v>
      </c>
      <c r="C33" s="31">
        <v>90</v>
      </c>
      <c r="D33" s="32" t="s">
        <v>110</v>
      </c>
    </row>
    <row r="34" spans="1:256" ht="26.4" x14ac:dyDescent="0.25">
      <c r="A34" s="72" t="s">
        <v>78</v>
      </c>
      <c r="B34" s="96">
        <v>46145</v>
      </c>
      <c r="C34" s="31">
        <v>90</v>
      </c>
      <c r="D34" s="32" t="s">
        <v>110</v>
      </c>
    </row>
    <row r="35" spans="1:256" ht="26.4" x14ac:dyDescent="0.25">
      <c r="A35" s="72" t="s">
        <v>79</v>
      </c>
      <c r="B35" s="96">
        <v>46147</v>
      </c>
      <c r="C35" s="31">
        <v>60</v>
      </c>
      <c r="D35" s="32" t="s">
        <v>110</v>
      </c>
    </row>
    <row r="36" spans="1:256" ht="13.8" x14ac:dyDescent="0.25">
      <c r="A36" s="72" t="s">
        <v>80</v>
      </c>
      <c r="B36" s="96">
        <v>46149</v>
      </c>
      <c r="C36" s="31">
        <v>90</v>
      </c>
      <c r="D36" s="32" t="s">
        <v>110</v>
      </c>
    </row>
    <row r="37" spans="1:256" ht="26.4" x14ac:dyDescent="0.25">
      <c r="A37" s="72" t="s">
        <v>81</v>
      </c>
      <c r="B37" s="96">
        <v>46152</v>
      </c>
      <c r="C37" s="31">
        <v>150</v>
      </c>
      <c r="D37" s="32" t="s">
        <v>110</v>
      </c>
    </row>
    <row r="38" spans="1:256" ht="13.8" x14ac:dyDescent="0.25">
      <c r="A38" s="72" t="s">
        <v>82</v>
      </c>
      <c r="B38" s="96">
        <v>46154</v>
      </c>
      <c r="C38" s="31">
        <v>40</v>
      </c>
      <c r="D38" s="32" t="s">
        <v>125</v>
      </c>
    </row>
    <row r="39" spans="1:256" ht="13.8" x14ac:dyDescent="0.25">
      <c r="A39" s="72" t="s">
        <v>83</v>
      </c>
      <c r="B39" s="96">
        <v>46162</v>
      </c>
      <c r="C39" s="31">
        <v>120</v>
      </c>
      <c r="D39" s="32" t="s">
        <v>112</v>
      </c>
    </row>
    <row r="40" spans="1:256" ht="13.8" x14ac:dyDescent="0.25">
      <c r="A40" s="72" t="s">
        <v>114</v>
      </c>
      <c r="B40" s="96">
        <v>46164</v>
      </c>
      <c r="C40" s="31">
        <v>90</v>
      </c>
      <c r="D40" s="32" t="s">
        <v>112</v>
      </c>
    </row>
    <row r="41" spans="1:256" ht="13.8" x14ac:dyDescent="0.25">
      <c r="A41" s="72" t="s">
        <v>85</v>
      </c>
      <c r="B41" s="96">
        <v>46166</v>
      </c>
      <c r="C41" s="31">
        <v>60</v>
      </c>
      <c r="D41" s="32" t="s">
        <v>112</v>
      </c>
    </row>
    <row r="42" spans="1:256" ht="13.8" x14ac:dyDescent="0.25">
      <c r="A42" s="72" t="s">
        <v>86</v>
      </c>
      <c r="B42" s="96">
        <v>46169</v>
      </c>
      <c r="C42" s="31">
        <v>90</v>
      </c>
      <c r="D42" s="32" t="s">
        <v>112</v>
      </c>
    </row>
    <row r="43" spans="1:256" ht="13.8" x14ac:dyDescent="0.25">
      <c r="A43" s="72" t="s">
        <v>87</v>
      </c>
      <c r="B43" s="96">
        <v>46171</v>
      </c>
      <c r="C43" s="31">
        <v>40</v>
      </c>
      <c r="D43" s="32" t="s">
        <v>129</v>
      </c>
    </row>
    <row r="44" spans="1:256" ht="13.8" x14ac:dyDescent="0.25">
      <c r="A44" s="20" t="s">
        <v>1</v>
      </c>
      <c r="B44" s="75"/>
      <c r="C44" s="44">
        <f>SUM(C28:C43)</f>
        <v>1340</v>
      </c>
      <c r="D44" s="47"/>
    </row>
    <row r="45" spans="1:256" ht="13.8" x14ac:dyDescent="0.25">
      <c r="A45" s="29" t="s">
        <v>46</v>
      </c>
      <c r="B45" s="76"/>
      <c r="C45" s="49"/>
      <c r="D45" s="47"/>
    </row>
    <row r="46" spans="1:256" ht="26.4" x14ac:dyDescent="0.25">
      <c r="A46" s="72" t="s">
        <v>88</v>
      </c>
      <c r="B46" s="79">
        <v>46174</v>
      </c>
      <c r="C46" s="31">
        <v>80</v>
      </c>
      <c r="D46" s="34" t="s">
        <v>113</v>
      </c>
    </row>
    <row r="47" spans="1:256" s="33" customFormat="1" ht="13.8" x14ac:dyDescent="0.25">
      <c r="A47" s="72" t="s">
        <v>89</v>
      </c>
      <c r="B47" s="78">
        <v>46176</v>
      </c>
      <c r="C47" s="31">
        <v>60</v>
      </c>
      <c r="D47" s="34" t="s">
        <v>113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</row>
    <row r="48" spans="1:256" s="33" customFormat="1" ht="13.8" x14ac:dyDescent="0.25">
      <c r="A48" s="72" t="s">
        <v>90</v>
      </c>
      <c r="B48" s="78">
        <v>46178</v>
      </c>
      <c r="C48" s="31">
        <v>80</v>
      </c>
      <c r="D48" s="34" t="s">
        <v>113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</row>
    <row r="49" spans="1:256" s="33" customFormat="1" ht="13.8" x14ac:dyDescent="0.25">
      <c r="A49" s="72" t="s">
        <v>91</v>
      </c>
      <c r="B49" s="78">
        <v>46180</v>
      </c>
      <c r="C49" s="31">
        <v>60</v>
      </c>
      <c r="D49" s="34" t="s">
        <v>113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6"/>
      <c r="FS49" s="16"/>
      <c r="FT49" s="16"/>
      <c r="FU49" s="16"/>
      <c r="FV49" s="16"/>
      <c r="FW49" s="16"/>
      <c r="FX49" s="16"/>
      <c r="FY49" s="16"/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/>
      <c r="GV49" s="16"/>
      <c r="GW49" s="16"/>
      <c r="GX49" s="16"/>
      <c r="GY49" s="16"/>
      <c r="GZ49" s="16"/>
      <c r="HA49" s="16"/>
      <c r="HB49" s="16"/>
      <c r="HC49" s="16"/>
      <c r="HD49" s="16"/>
      <c r="HE49" s="16"/>
      <c r="HF49" s="16"/>
      <c r="HG49" s="16"/>
      <c r="HH49" s="16"/>
      <c r="HI49" s="16"/>
      <c r="HJ49" s="16"/>
      <c r="HK49" s="16"/>
      <c r="HL49" s="16"/>
      <c r="HM49" s="16"/>
      <c r="HN49" s="16"/>
      <c r="HO49" s="16"/>
      <c r="HP49" s="16"/>
      <c r="HQ49" s="16"/>
      <c r="HR49" s="16"/>
      <c r="HS49" s="16"/>
      <c r="HT49" s="16"/>
      <c r="HU49" s="16"/>
      <c r="HV49" s="16"/>
      <c r="HW49" s="16"/>
      <c r="HX49" s="16"/>
      <c r="HY49" s="16"/>
      <c r="HZ49" s="16"/>
      <c r="IA49" s="16"/>
      <c r="IB49" s="16"/>
      <c r="IC49" s="16"/>
      <c r="ID49" s="16"/>
      <c r="IE49" s="16"/>
      <c r="IF49" s="16"/>
      <c r="IG49" s="16"/>
      <c r="IH49" s="16"/>
      <c r="II49" s="16"/>
      <c r="IJ49" s="16"/>
      <c r="IK49" s="16"/>
      <c r="IL49" s="16"/>
      <c r="IM49" s="16"/>
      <c r="IN49" s="16"/>
      <c r="IO49" s="16"/>
      <c r="IP49" s="16"/>
      <c r="IQ49" s="16"/>
      <c r="IR49" s="16"/>
      <c r="IS49" s="16"/>
      <c r="IT49" s="16"/>
      <c r="IU49" s="16"/>
      <c r="IV49" s="16"/>
    </row>
    <row r="50" spans="1:256" s="33" customFormat="1" ht="26.4" x14ac:dyDescent="0.25">
      <c r="A50" s="72" t="s">
        <v>92</v>
      </c>
      <c r="B50" s="78">
        <v>46182</v>
      </c>
      <c r="C50" s="31">
        <v>40</v>
      </c>
      <c r="D50" s="34" t="s">
        <v>113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  <c r="HM50" s="16"/>
      <c r="HN50" s="16"/>
      <c r="HO50" s="16"/>
      <c r="HP50" s="16"/>
      <c r="HQ50" s="16"/>
      <c r="HR50" s="16"/>
      <c r="HS50" s="16"/>
      <c r="HT50" s="16"/>
      <c r="HU50" s="16"/>
      <c r="HV50" s="16"/>
      <c r="HW50" s="16"/>
      <c r="HX50" s="16"/>
      <c r="HY50" s="16"/>
      <c r="HZ50" s="16"/>
      <c r="IA50" s="16"/>
      <c r="IB50" s="16"/>
      <c r="IC50" s="16"/>
      <c r="ID50" s="16"/>
      <c r="IE50" s="16"/>
      <c r="IF50" s="16"/>
      <c r="IG50" s="16"/>
      <c r="IH50" s="16"/>
      <c r="II50" s="16"/>
      <c r="IJ50" s="16"/>
      <c r="IK50" s="16"/>
      <c r="IL50" s="16"/>
      <c r="IM50" s="16"/>
      <c r="IN50" s="16"/>
      <c r="IO50" s="16"/>
      <c r="IP50" s="16"/>
      <c r="IQ50" s="16"/>
      <c r="IR50" s="16"/>
      <c r="IS50" s="16"/>
      <c r="IT50" s="16"/>
      <c r="IU50" s="16"/>
      <c r="IV50" s="16"/>
    </row>
    <row r="51" spans="1:256" s="33" customFormat="1" ht="13.8" x14ac:dyDescent="0.25">
      <c r="A51" s="72" t="s">
        <v>98</v>
      </c>
      <c r="B51" s="78">
        <v>46174</v>
      </c>
      <c r="C51" s="31">
        <v>75</v>
      </c>
      <c r="D51" s="32" t="s">
        <v>115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6"/>
      <c r="FS51" s="16"/>
      <c r="FT51" s="16"/>
      <c r="FU51" s="16"/>
      <c r="FV51" s="16"/>
      <c r="FW51" s="16"/>
      <c r="FX51" s="16"/>
      <c r="FY51" s="16"/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/>
      <c r="GV51" s="16"/>
      <c r="GW51" s="16"/>
      <c r="GX51" s="16"/>
      <c r="GY51" s="16"/>
      <c r="GZ51" s="16"/>
      <c r="HA51" s="16"/>
      <c r="HB51" s="16"/>
      <c r="HC51" s="16"/>
      <c r="HD51" s="16"/>
      <c r="HE51" s="16"/>
      <c r="HF51" s="16"/>
      <c r="HG51" s="16"/>
      <c r="HH51" s="16"/>
      <c r="HI51" s="16"/>
      <c r="HJ51" s="16"/>
      <c r="HK51" s="16"/>
      <c r="HL51" s="16"/>
      <c r="HM51" s="16"/>
      <c r="HN51" s="16"/>
      <c r="HO51" s="16"/>
      <c r="HP51" s="16"/>
      <c r="HQ51" s="16"/>
      <c r="HR51" s="16"/>
      <c r="HS51" s="16"/>
      <c r="HT51" s="16"/>
      <c r="HU51" s="16"/>
      <c r="HV51" s="16"/>
      <c r="HW51" s="16"/>
      <c r="HX51" s="16"/>
      <c r="HY51" s="16"/>
      <c r="HZ51" s="16"/>
      <c r="IA51" s="16"/>
      <c r="IB51" s="16"/>
      <c r="IC51" s="16"/>
      <c r="ID51" s="16"/>
      <c r="IE51" s="16"/>
      <c r="IF51" s="16"/>
      <c r="IG51" s="16"/>
      <c r="IH51" s="16"/>
      <c r="II51" s="16"/>
      <c r="IJ51" s="16"/>
      <c r="IK51" s="16"/>
      <c r="IL51" s="16"/>
      <c r="IM51" s="16"/>
      <c r="IN51" s="16"/>
      <c r="IO51" s="16"/>
      <c r="IP51" s="16"/>
      <c r="IQ51" s="16"/>
      <c r="IR51" s="16"/>
      <c r="IS51" s="16"/>
      <c r="IT51" s="16"/>
      <c r="IU51" s="16"/>
      <c r="IV51" s="16"/>
    </row>
    <row r="52" spans="1:256" ht="13.8" x14ac:dyDescent="0.25">
      <c r="A52" s="72" t="s">
        <v>99</v>
      </c>
      <c r="B52" s="79">
        <v>46174</v>
      </c>
      <c r="C52" s="31">
        <v>75</v>
      </c>
      <c r="D52" s="34" t="s">
        <v>115</v>
      </c>
    </row>
    <row r="53" spans="1:256" ht="13.8" x14ac:dyDescent="0.25">
      <c r="A53" s="20" t="s">
        <v>1</v>
      </c>
      <c r="B53" s="75"/>
      <c r="C53" s="44">
        <f>SUM(C46:C52)</f>
        <v>470</v>
      </c>
      <c r="D53" s="47"/>
    </row>
    <row r="54" spans="1:256" ht="13.8" x14ac:dyDescent="0.25">
      <c r="A54" s="29" t="s">
        <v>30</v>
      </c>
      <c r="B54" s="76"/>
      <c r="C54" s="49"/>
      <c r="D54" s="47"/>
    </row>
    <row r="55" spans="1:256" ht="13.8" x14ac:dyDescent="0.25">
      <c r="A55" s="72" t="s">
        <v>121</v>
      </c>
      <c r="B55" s="78">
        <v>46188</v>
      </c>
      <c r="C55" s="35">
        <v>60</v>
      </c>
      <c r="D55" s="34" t="s">
        <v>124</v>
      </c>
    </row>
    <row r="56" spans="1:256" s="33" customFormat="1" ht="13.8" x14ac:dyDescent="0.25">
      <c r="A56" s="72" t="s">
        <v>122</v>
      </c>
      <c r="B56" s="78">
        <v>46190</v>
      </c>
      <c r="C56" s="31">
        <v>20</v>
      </c>
      <c r="D56" s="34" t="s">
        <v>124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6"/>
      <c r="FS56" s="16"/>
      <c r="FT56" s="16"/>
      <c r="FU56" s="16"/>
      <c r="FV56" s="16"/>
      <c r="FW56" s="16"/>
      <c r="FX56" s="16"/>
      <c r="FY56" s="16"/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/>
      <c r="GV56" s="16"/>
      <c r="GW56" s="16"/>
      <c r="GX56" s="16"/>
      <c r="GY56" s="16"/>
      <c r="GZ56" s="16"/>
      <c r="HA56" s="16"/>
      <c r="HB56" s="16"/>
      <c r="HC56" s="16"/>
      <c r="HD56" s="16"/>
      <c r="HE56" s="16"/>
      <c r="HF56" s="16"/>
      <c r="HG56" s="16"/>
      <c r="HH56" s="16"/>
      <c r="HI56" s="16"/>
      <c r="HJ56" s="16"/>
      <c r="HK56" s="16"/>
      <c r="HL56" s="16"/>
      <c r="HM56" s="16"/>
      <c r="HN56" s="16"/>
      <c r="HO56" s="16"/>
      <c r="HP56" s="16"/>
      <c r="HQ56" s="16"/>
      <c r="HR56" s="16"/>
      <c r="HS56" s="16"/>
      <c r="HT56" s="16"/>
      <c r="HU56" s="16"/>
      <c r="HV56" s="16"/>
      <c r="HW56" s="16"/>
      <c r="HX56" s="16"/>
      <c r="HY56" s="16"/>
      <c r="HZ56" s="16"/>
      <c r="IA56" s="16"/>
      <c r="IB56" s="16"/>
      <c r="IC56" s="16"/>
      <c r="ID56" s="16"/>
      <c r="IE56" s="16"/>
      <c r="IF56" s="16"/>
      <c r="IG56" s="16"/>
      <c r="IH56" s="16"/>
      <c r="II56" s="16"/>
      <c r="IJ56" s="16"/>
      <c r="IK56" s="16"/>
      <c r="IL56" s="16"/>
      <c r="IM56" s="16"/>
      <c r="IN56" s="16"/>
      <c r="IO56" s="16"/>
      <c r="IP56" s="16"/>
      <c r="IQ56" s="16"/>
      <c r="IR56" s="16"/>
      <c r="IS56" s="16"/>
      <c r="IT56" s="16"/>
      <c r="IU56" s="16"/>
      <c r="IV56" s="16"/>
    </row>
    <row r="57" spans="1:256" s="33" customFormat="1" ht="13.8" x14ac:dyDescent="0.25">
      <c r="A57" s="72" t="s">
        <v>123</v>
      </c>
      <c r="B57" s="78">
        <v>46191</v>
      </c>
      <c r="C57" s="31">
        <v>30</v>
      </c>
      <c r="D57" s="34" t="s">
        <v>124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6"/>
      <c r="FS57" s="16"/>
      <c r="FT57" s="16"/>
      <c r="FU57" s="16"/>
      <c r="FV57" s="16"/>
      <c r="FW57" s="16"/>
      <c r="FX57" s="16"/>
      <c r="FY57" s="16"/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/>
      <c r="GV57" s="16"/>
      <c r="GW57" s="16"/>
      <c r="GX57" s="16"/>
      <c r="GY57" s="16"/>
      <c r="GZ57" s="16"/>
      <c r="HA57" s="16"/>
      <c r="HB57" s="16"/>
      <c r="HC57" s="16"/>
      <c r="HD57" s="16"/>
      <c r="HE57" s="16"/>
      <c r="HF57" s="16"/>
      <c r="HG57" s="16"/>
      <c r="HH57" s="16"/>
      <c r="HI57" s="16"/>
      <c r="HJ57" s="16"/>
      <c r="HK57" s="16"/>
      <c r="HL57" s="16"/>
      <c r="HM57" s="16"/>
      <c r="HN57" s="16"/>
      <c r="HO57" s="16"/>
      <c r="HP57" s="16"/>
      <c r="HQ57" s="16"/>
      <c r="HR57" s="16"/>
      <c r="HS57" s="16"/>
      <c r="HT57" s="16"/>
      <c r="HU57" s="16"/>
      <c r="HV57" s="16"/>
      <c r="HW57" s="16"/>
      <c r="HX57" s="16"/>
      <c r="HY57" s="16"/>
      <c r="HZ57" s="16"/>
      <c r="IA57" s="16"/>
      <c r="IB57" s="16"/>
      <c r="IC57" s="16"/>
      <c r="ID57" s="16"/>
      <c r="IE57" s="16"/>
      <c r="IF57" s="16"/>
      <c r="IG57" s="16"/>
      <c r="IH57" s="16"/>
      <c r="II57" s="16"/>
      <c r="IJ57" s="16"/>
      <c r="IK57" s="16"/>
      <c r="IL57" s="16"/>
      <c r="IM57" s="16"/>
      <c r="IN57" s="16"/>
      <c r="IO57" s="16"/>
      <c r="IP57" s="16"/>
      <c r="IQ57" s="16"/>
      <c r="IR57" s="16"/>
      <c r="IS57" s="16"/>
      <c r="IT57" s="16"/>
      <c r="IU57" s="16"/>
      <c r="IV57" s="16"/>
    </row>
    <row r="58" spans="1:256" s="33" customFormat="1" ht="13.8" x14ac:dyDescent="0.25">
      <c r="A58" s="72" t="s">
        <v>96</v>
      </c>
      <c r="B58" s="78">
        <v>46193</v>
      </c>
      <c r="C58" s="31">
        <v>60</v>
      </c>
      <c r="D58" s="34" t="s">
        <v>124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6"/>
      <c r="FS58" s="16"/>
      <c r="FT58" s="16"/>
      <c r="FU58" s="16"/>
      <c r="FV58" s="16"/>
      <c r="FW58" s="16"/>
      <c r="FX58" s="16"/>
      <c r="FY58" s="16"/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/>
      <c r="GV58" s="16"/>
      <c r="GW58" s="16"/>
      <c r="GX58" s="16"/>
      <c r="GY58" s="16"/>
      <c r="GZ58" s="16"/>
      <c r="HA58" s="16"/>
      <c r="HB58" s="16"/>
      <c r="HC58" s="16"/>
      <c r="HD58" s="16"/>
      <c r="HE58" s="16"/>
      <c r="HF58" s="16"/>
      <c r="HG58" s="16"/>
      <c r="HH58" s="16"/>
      <c r="HI58" s="16"/>
      <c r="HJ58" s="16"/>
      <c r="HK58" s="16"/>
      <c r="HL58" s="16"/>
      <c r="HM58" s="16"/>
      <c r="HN58" s="16"/>
      <c r="HO58" s="16"/>
      <c r="HP58" s="16"/>
      <c r="HQ58" s="16"/>
      <c r="HR58" s="16"/>
      <c r="HS58" s="16"/>
      <c r="HT58" s="16"/>
      <c r="HU58" s="16"/>
      <c r="HV58" s="16"/>
      <c r="HW58" s="16"/>
      <c r="HX58" s="16"/>
      <c r="HY58" s="16"/>
      <c r="HZ58" s="16"/>
      <c r="IA58" s="16"/>
      <c r="IB58" s="16"/>
      <c r="IC58" s="16"/>
      <c r="ID58" s="16"/>
      <c r="IE58" s="16"/>
      <c r="IF58" s="16"/>
      <c r="IG58" s="16"/>
      <c r="IH58" s="16"/>
      <c r="II58" s="16"/>
      <c r="IJ58" s="16"/>
      <c r="IK58" s="16"/>
      <c r="IL58" s="16"/>
      <c r="IM58" s="16"/>
      <c r="IN58" s="16"/>
      <c r="IO58" s="16"/>
      <c r="IP58" s="16"/>
      <c r="IQ58" s="16"/>
      <c r="IR58" s="16"/>
      <c r="IS58" s="16"/>
      <c r="IT58" s="16"/>
      <c r="IU58" s="16"/>
      <c r="IV58" s="16"/>
    </row>
    <row r="59" spans="1:256" s="33" customFormat="1" ht="13.8" x14ac:dyDescent="0.25">
      <c r="A59" s="72" t="s">
        <v>97</v>
      </c>
      <c r="B59" s="78">
        <v>46195</v>
      </c>
      <c r="C59" s="31">
        <v>40</v>
      </c>
      <c r="D59" s="32" t="s">
        <v>116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6"/>
      <c r="FS59" s="16"/>
      <c r="FT59" s="16"/>
      <c r="FU59" s="16"/>
      <c r="FV59" s="16"/>
      <c r="FW59" s="16"/>
      <c r="FX59" s="16"/>
      <c r="FY59" s="16"/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/>
      <c r="GV59" s="16"/>
      <c r="GW59" s="16"/>
      <c r="GX59" s="16"/>
      <c r="GY59" s="16"/>
      <c r="GZ59" s="16"/>
      <c r="HA59" s="16"/>
      <c r="HB59" s="16"/>
      <c r="HC59" s="16"/>
      <c r="HD59" s="16"/>
      <c r="HE59" s="16"/>
      <c r="HF59" s="16"/>
      <c r="HG59" s="16"/>
      <c r="HH59" s="16"/>
      <c r="HI59" s="16"/>
      <c r="HJ59" s="16"/>
      <c r="HK59" s="16"/>
      <c r="HL59" s="16"/>
      <c r="HM59" s="16"/>
      <c r="HN59" s="16"/>
      <c r="HO59" s="16"/>
      <c r="HP59" s="16"/>
      <c r="HQ59" s="16"/>
      <c r="HR59" s="16"/>
      <c r="HS59" s="16"/>
      <c r="HT59" s="16"/>
      <c r="HU59" s="16"/>
      <c r="HV59" s="16"/>
      <c r="HW59" s="16"/>
      <c r="HX59" s="16"/>
      <c r="HY59" s="16"/>
      <c r="HZ59" s="16"/>
      <c r="IA59" s="16"/>
      <c r="IB59" s="16"/>
      <c r="IC59" s="16"/>
      <c r="ID59" s="16"/>
      <c r="IE59" s="16"/>
      <c r="IF59" s="16"/>
      <c r="IG59" s="16"/>
      <c r="IH59" s="16"/>
      <c r="II59" s="16"/>
      <c r="IJ59" s="16"/>
      <c r="IK59" s="16"/>
      <c r="IL59" s="16"/>
      <c r="IM59" s="16"/>
      <c r="IN59" s="16"/>
      <c r="IO59" s="16"/>
      <c r="IP59" s="16"/>
      <c r="IQ59" s="16"/>
      <c r="IR59" s="16"/>
      <c r="IS59" s="16"/>
      <c r="IT59" s="16"/>
      <c r="IU59" s="16"/>
      <c r="IV59" s="16"/>
    </row>
    <row r="60" spans="1:256" s="33" customFormat="1" ht="26.4" x14ac:dyDescent="0.25">
      <c r="A60" s="72" t="s">
        <v>101</v>
      </c>
      <c r="B60" s="78">
        <v>46198</v>
      </c>
      <c r="C60" s="31">
        <v>30</v>
      </c>
      <c r="D60" s="32" t="s">
        <v>117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6"/>
      <c r="FS60" s="16"/>
      <c r="FT60" s="16"/>
      <c r="FU60" s="16"/>
      <c r="FV60" s="16"/>
      <c r="FW60" s="16"/>
      <c r="FX60" s="16"/>
      <c r="FY60" s="16"/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/>
      <c r="GV60" s="16"/>
      <c r="GW60" s="16"/>
      <c r="GX60" s="16"/>
      <c r="GY60" s="16"/>
      <c r="GZ60" s="16"/>
      <c r="HA60" s="16"/>
      <c r="HB60" s="16"/>
      <c r="HC60" s="16"/>
      <c r="HD60" s="16"/>
      <c r="HE60" s="16"/>
      <c r="HF60" s="16"/>
      <c r="HG60" s="16"/>
      <c r="HH60" s="16"/>
      <c r="HI60" s="16"/>
      <c r="HJ60" s="16"/>
      <c r="HK60" s="16"/>
      <c r="HL60" s="16"/>
      <c r="HM60" s="16"/>
      <c r="HN60" s="16"/>
      <c r="HO60" s="16"/>
      <c r="HP60" s="16"/>
      <c r="HQ60" s="16"/>
      <c r="HR60" s="16"/>
      <c r="HS60" s="16"/>
      <c r="HT60" s="16"/>
      <c r="HU60" s="16"/>
      <c r="HV60" s="16"/>
      <c r="HW60" s="16"/>
      <c r="HX60" s="16"/>
      <c r="HY60" s="16"/>
      <c r="HZ60" s="16"/>
      <c r="IA60" s="16"/>
      <c r="IB60" s="16"/>
      <c r="IC60" s="16"/>
      <c r="ID60" s="16"/>
      <c r="IE60" s="16"/>
      <c r="IF60" s="16"/>
      <c r="IG60" s="16"/>
      <c r="IH60" s="16"/>
      <c r="II60" s="16"/>
      <c r="IJ60" s="16"/>
      <c r="IK60" s="16"/>
      <c r="IL60" s="16"/>
      <c r="IM60" s="16"/>
      <c r="IN60" s="16"/>
      <c r="IO60" s="16"/>
      <c r="IP60" s="16"/>
      <c r="IQ60" s="16"/>
      <c r="IR60" s="16"/>
      <c r="IS60" s="16"/>
      <c r="IT60" s="16"/>
      <c r="IU60" s="16"/>
      <c r="IV60" s="16"/>
    </row>
    <row r="61" spans="1:256" s="33" customFormat="1" ht="13.8" x14ac:dyDescent="0.25">
      <c r="A61" s="72" t="s">
        <v>105</v>
      </c>
      <c r="B61" s="78">
        <v>46199</v>
      </c>
      <c r="C61" s="31">
        <v>30</v>
      </c>
      <c r="D61" s="32" t="s">
        <v>117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  <c r="DY61" s="16"/>
      <c r="DZ61" s="16"/>
      <c r="EA61" s="16"/>
      <c r="EB61" s="16"/>
      <c r="EC61" s="16"/>
      <c r="ED61" s="16"/>
      <c r="EE61" s="16"/>
      <c r="EF61" s="16"/>
      <c r="EG61" s="16"/>
      <c r="EH61" s="16"/>
      <c r="EI61" s="16"/>
      <c r="EJ61" s="16"/>
      <c r="EK61" s="16"/>
      <c r="EL61" s="16"/>
      <c r="EM61" s="16"/>
      <c r="EN61" s="16"/>
      <c r="EO61" s="16"/>
      <c r="EP61" s="16"/>
      <c r="EQ61" s="16"/>
      <c r="ER61" s="16"/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6"/>
      <c r="FS61" s="16"/>
      <c r="FT61" s="16"/>
      <c r="FU61" s="16"/>
      <c r="FV61" s="16"/>
      <c r="FW61" s="16"/>
      <c r="FX61" s="16"/>
      <c r="FY61" s="16"/>
      <c r="FZ61" s="16"/>
      <c r="GA61" s="16"/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</row>
    <row r="62" spans="1:256" s="33" customFormat="1" ht="13.8" x14ac:dyDescent="0.25">
      <c r="A62" s="72" t="s">
        <v>66</v>
      </c>
      <c r="B62" s="78">
        <v>46200</v>
      </c>
      <c r="C62" s="31">
        <v>10</v>
      </c>
      <c r="D62" s="32" t="s">
        <v>118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  <c r="DY62" s="16"/>
      <c r="DZ62" s="16"/>
      <c r="EA62" s="16"/>
      <c r="EB62" s="16"/>
      <c r="EC62" s="16"/>
      <c r="ED62" s="16"/>
      <c r="EE62" s="16"/>
      <c r="EF62" s="16"/>
      <c r="EG62" s="16"/>
      <c r="EH62" s="16"/>
      <c r="EI62" s="16"/>
      <c r="EJ62" s="16"/>
      <c r="EK62" s="16"/>
      <c r="EL62" s="16"/>
      <c r="EM62" s="16"/>
      <c r="EN62" s="16"/>
      <c r="EO62" s="16"/>
      <c r="EP62" s="16"/>
      <c r="EQ62" s="16"/>
      <c r="ER62" s="16"/>
      <c r="ES62" s="16"/>
      <c r="ET62" s="16"/>
      <c r="EU62" s="16"/>
      <c r="EV62" s="16"/>
      <c r="EW62" s="16"/>
      <c r="EX62" s="16"/>
      <c r="EY62" s="16"/>
      <c r="EZ62" s="16"/>
      <c r="FA62" s="16"/>
      <c r="FB62" s="16"/>
      <c r="FC62" s="16"/>
      <c r="FD62" s="16"/>
      <c r="FE62" s="16"/>
      <c r="FF62" s="16"/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6"/>
      <c r="FS62" s="16"/>
      <c r="FT62" s="16"/>
      <c r="FU62" s="16"/>
      <c r="FV62" s="16"/>
      <c r="FW62" s="16"/>
      <c r="FX62" s="16"/>
      <c r="FY62" s="16"/>
      <c r="FZ62" s="16"/>
      <c r="GA62" s="16"/>
      <c r="GB62" s="16"/>
      <c r="GC62" s="16"/>
      <c r="GD62" s="16"/>
      <c r="GE62" s="16"/>
      <c r="GF62" s="16"/>
      <c r="GG62" s="16"/>
      <c r="GH62" s="16"/>
      <c r="GI62" s="16"/>
      <c r="GJ62" s="16"/>
      <c r="GK62" s="16"/>
      <c r="GL62" s="16"/>
      <c r="GM62" s="16"/>
      <c r="GN62" s="16"/>
      <c r="GO62" s="16"/>
      <c r="GP62" s="16"/>
      <c r="GQ62" s="16"/>
      <c r="GR62" s="16"/>
      <c r="GS62" s="16"/>
      <c r="GT62" s="16"/>
      <c r="GU62" s="16"/>
      <c r="GV62" s="16"/>
      <c r="GW62" s="16"/>
      <c r="GX62" s="16"/>
      <c r="GY62" s="16"/>
      <c r="GZ62" s="16"/>
      <c r="HA62" s="16"/>
      <c r="HB62" s="16"/>
      <c r="HC62" s="16"/>
      <c r="HD62" s="16"/>
      <c r="HE62" s="16"/>
      <c r="HF62" s="16"/>
      <c r="HG62" s="16"/>
      <c r="HH62" s="16"/>
      <c r="HI62" s="16"/>
      <c r="HJ62" s="16"/>
      <c r="HK62" s="16"/>
      <c r="HL62" s="16"/>
      <c r="HM62" s="16"/>
      <c r="HN62" s="16"/>
      <c r="HO62" s="16"/>
      <c r="HP62" s="16"/>
      <c r="HQ62" s="16"/>
      <c r="HR62" s="16"/>
      <c r="HS62" s="16"/>
      <c r="HT62" s="16"/>
      <c r="HU62" s="16"/>
      <c r="HV62" s="16"/>
      <c r="HW62" s="16"/>
      <c r="HX62" s="16"/>
      <c r="HY62" s="16"/>
      <c r="HZ62" s="16"/>
      <c r="IA62" s="16"/>
      <c r="IB62" s="16"/>
      <c r="IC62" s="16"/>
      <c r="ID62" s="16"/>
      <c r="IE62" s="16"/>
      <c r="IF62" s="16"/>
      <c r="IG62" s="16"/>
      <c r="IH62" s="16"/>
      <c r="II62" s="16"/>
      <c r="IJ62" s="16"/>
      <c r="IK62" s="16"/>
      <c r="IL62" s="16"/>
      <c r="IM62" s="16"/>
      <c r="IN62" s="16"/>
      <c r="IO62" s="16"/>
      <c r="IP62" s="16"/>
      <c r="IQ62" s="16"/>
      <c r="IR62" s="16"/>
      <c r="IS62" s="16"/>
      <c r="IT62" s="16"/>
      <c r="IU62" s="16"/>
      <c r="IV62" s="16"/>
    </row>
    <row r="63" spans="1:256" s="33" customFormat="1" ht="13.8" x14ac:dyDescent="0.25">
      <c r="A63" s="72" t="s">
        <v>102</v>
      </c>
      <c r="B63" s="78">
        <v>46201</v>
      </c>
      <c r="C63" s="31">
        <v>20</v>
      </c>
      <c r="D63" s="32" t="s">
        <v>117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  <c r="HE63" s="16"/>
      <c r="HF63" s="16"/>
      <c r="HG63" s="16"/>
      <c r="HH63" s="16"/>
      <c r="HI63" s="16"/>
      <c r="HJ63" s="16"/>
      <c r="HK63" s="16"/>
      <c r="HL63" s="16"/>
      <c r="HM63" s="16"/>
      <c r="HN63" s="16"/>
      <c r="HO63" s="16"/>
      <c r="HP63" s="16"/>
      <c r="HQ63" s="16"/>
      <c r="HR63" s="16"/>
      <c r="HS63" s="16"/>
      <c r="HT63" s="16"/>
      <c r="HU63" s="16"/>
      <c r="HV63" s="16"/>
      <c r="HW63" s="16"/>
      <c r="HX63" s="16"/>
      <c r="HY63" s="16"/>
      <c r="HZ63" s="16"/>
      <c r="IA63" s="16"/>
      <c r="IB63" s="16"/>
      <c r="IC63" s="16"/>
      <c r="ID63" s="16"/>
      <c r="IE63" s="16"/>
      <c r="IF63" s="16"/>
      <c r="IG63" s="16"/>
      <c r="IH63" s="16"/>
      <c r="II63" s="16"/>
      <c r="IJ63" s="16"/>
      <c r="IK63" s="16"/>
      <c r="IL63" s="16"/>
      <c r="IM63" s="16"/>
      <c r="IN63" s="16"/>
      <c r="IO63" s="16"/>
      <c r="IP63" s="16"/>
      <c r="IQ63" s="16"/>
      <c r="IR63" s="16"/>
      <c r="IS63" s="16"/>
      <c r="IT63" s="16"/>
      <c r="IU63" s="16"/>
      <c r="IV63" s="16"/>
    </row>
    <row r="64" spans="1:256" s="33" customFormat="1" ht="13.8" x14ac:dyDescent="0.25">
      <c r="A64" s="72" t="s">
        <v>119</v>
      </c>
      <c r="B64" s="78">
        <v>46199</v>
      </c>
      <c r="C64" s="31">
        <v>30</v>
      </c>
      <c r="D64" s="32" t="s">
        <v>120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16"/>
      <c r="HP64" s="16"/>
      <c r="HQ64" s="16"/>
      <c r="HR64" s="16"/>
      <c r="HS64" s="16"/>
      <c r="HT64" s="16"/>
      <c r="HU64" s="16"/>
      <c r="HV64" s="16"/>
      <c r="HW64" s="16"/>
      <c r="HX64" s="16"/>
      <c r="HY64" s="16"/>
      <c r="HZ64" s="16"/>
      <c r="IA64" s="16"/>
      <c r="IB64" s="16"/>
      <c r="IC64" s="16"/>
      <c r="ID64" s="16"/>
      <c r="IE64" s="16"/>
      <c r="IF64" s="16"/>
      <c r="IG64" s="16"/>
      <c r="IH64" s="16"/>
      <c r="II64" s="16"/>
      <c r="IJ64" s="16"/>
      <c r="IK64" s="16"/>
      <c r="IL64" s="16"/>
      <c r="IM64" s="16"/>
      <c r="IN64" s="16"/>
      <c r="IO64" s="16"/>
      <c r="IP64" s="16"/>
      <c r="IQ64" s="16"/>
      <c r="IR64" s="16"/>
      <c r="IS64" s="16"/>
      <c r="IT64" s="16"/>
      <c r="IU64" s="16"/>
      <c r="IV64" s="16"/>
    </row>
    <row r="65" spans="1:4" ht="13.8" x14ac:dyDescent="0.25">
      <c r="A65" s="20" t="s">
        <v>2</v>
      </c>
      <c r="B65" s="75"/>
      <c r="C65" s="44">
        <f>SUM(C55:C64)</f>
        <v>330</v>
      </c>
      <c r="D65" s="47"/>
    </row>
    <row r="66" spans="1:4" ht="13.8" x14ac:dyDescent="0.25">
      <c r="A66" s="45" t="s">
        <v>31</v>
      </c>
      <c r="B66" s="77"/>
      <c r="C66" s="46">
        <f>SUM(C18,C26,C44,C53,C65)</f>
        <v>2350</v>
      </c>
      <c r="D66" s="47"/>
    </row>
  </sheetData>
  <mergeCells count="6">
    <mergeCell ref="A1:D1"/>
    <mergeCell ref="B3:C3"/>
    <mergeCell ref="A5:D5"/>
    <mergeCell ref="B4:C4"/>
    <mergeCell ref="A2:D2"/>
    <mergeCell ref="D3:D4"/>
  </mergeCells>
  <phoneticPr fontId="0" type="noConversion"/>
  <pageMargins left="0.75" right="0.75" top="1" bottom="1" header="0.5" footer="0.5"/>
  <pageSetup scale="93" orientation="landscape" r:id="rId1"/>
  <headerFooter alignWithMargins="0">
    <oddHeader>&amp;LPut your logo here&amp;C&amp;"Arial,Bold"&amp;14Project Budget Template&amp;R&amp;"Arial,Bold"&amp;12Your Organization
Name Here</oddHeader>
    <oddFooter>&amp;L&amp;8Template: Project Budget Template [Rev. 2.2 8-30-04]&amp;CPage &amp;P of &amp;N&amp;RPrint Date: &amp;D</oddFooter>
  </headerFooter>
  <rowBreaks count="1" manualBreakCount="1">
    <brk id="2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428D6-D586-4109-B869-220FD308B9B1}">
  <dimension ref="A1:IV35"/>
  <sheetViews>
    <sheetView topLeftCell="A13" zoomScaleNormal="100" workbookViewId="0">
      <selection activeCell="A17" sqref="A17"/>
    </sheetView>
  </sheetViews>
  <sheetFormatPr baseColWidth="10" defaultColWidth="9.109375" defaultRowHeight="13.2" x14ac:dyDescent="0.25"/>
  <cols>
    <col min="1" max="1" width="35" style="16" customWidth="1"/>
    <col min="2" max="2" width="13.5546875" style="16" customWidth="1"/>
    <col min="3" max="3" width="17.109375" style="16" customWidth="1"/>
    <col min="4" max="4" width="45.44140625" style="16" customWidth="1"/>
    <col min="5" max="6" width="9.109375" style="16"/>
    <col min="7" max="7" width="29.5546875" style="16" customWidth="1"/>
    <col min="8" max="9" width="9.109375" style="16"/>
    <col min="10" max="10" width="15.88671875" style="16" customWidth="1"/>
    <col min="11" max="16384" width="9.109375" style="16"/>
  </cols>
  <sheetData>
    <row r="1" spans="1:256" x14ac:dyDescent="0.25">
      <c r="A1" s="138"/>
      <c r="B1" s="138"/>
      <c r="C1" s="138"/>
      <c r="D1" s="138"/>
      <c r="E1" s="52"/>
      <c r="F1" s="52"/>
      <c r="G1" s="52"/>
    </row>
    <row r="2" spans="1:256" ht="58.5" customHeight="1" x14ac:dyDescent="0.25">
      <c r="A2" s="115" t="s">
        <v>49</v>
      </c>
      <c r="B2" s="140"/>
      <c r="C2" s="140"/>
      <c r="D2" s="140"/>
    </row>
    <row r="3" spans="1:256" ht="18.75" customHeight="1" x14ac:dyDescent="0.25">
      <c r="A3" s="23" t="s">
        <v>11</v>
      </c>
      <c r="B3" s="139" t="str">
        <f>'Fuentes de Costos del Proyecto'!C3</f>
        <v>Sistema Generación de Horarios Academicos</v>
      </c>
      <c r="C3" s="139"/>
      <c r="D3" s="128"/>
    </row>
    <row r="4" spans="1:256" s="30" customFormat="1" ht="16.5" customHeight="1" x14ac:dyDescent="0.25">
      <c r="A4" s="23" t="s">
        <v>43</v>
      </c>
      <c r="B4" s="139" t="str">
        <f>'Fuentes de Costos del Proyecto'!C4</f>
        <v>Sulla Corbetta Jose Luis</v>
      </c>
      <c r="C4" s="139"/>
      <c r="D4" s="141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  <c r="HM4" s="16"/>
      <c r="HN4" s="16"/>
      <c r="HO4" s="16"/>
      <c r="HP4" s="16"/>
      <c r="HQ4" s="16"/>
      <c r="HR4" s="16"/>
      <c r="HS4" s="16"/>
      <c r="HT4" s="16"/>
      <c r="HU4" s="16"/>
      <c r="HV4" s="16"/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6"/>
      <c r="IN4" s="16"/>
      <c r="IO4" s="16"/>
      <c r="IP4" s="16"/>
      <c r="IQ4" s="16"/>
      <c r="IR4" s="16"/>
      <c r="IS4" s="16"/>
      <c r="IT4" s="16"/>
      <c r="IU4" s="16"/>
      <c r="IV4" s="16"/>
    </row>
    <row r="5" spans="1:256" ht="16.5" customHeight="1" x14ac:dyDescent="0.25">
      <c r="A5" s="124"/>
      <c r="B5" s="125"/>
      <c r="C5" s="125"/>
      <c r="D5" s="125"/>
    </row>
    <row r="6" spans="1:256" x14ac:dyDescent="0.25">
      <c r="A6" s="65" t="s">
        <v>9</v>
      </c>
      <c r="B6" s="66"/>
      <c r="C6" s="66"/>
      <c r="D6" s="67"/>
    </row>
    <row r="7" spans="1:256" x14ac:dyDescent="0.25">
      <c r="A7" s="65" t="s">
        <v>15</v>
      </c>
      <c r="B7" s="66"/>
      <c r="C7" s="66"/>
      <c r="D7" s="67"/>
    </row>
    <row r="8" spans="1:256" ht="21" customHeight="1" x14ac:dyDescent="0.25">
      <c r="A8" s="50" t="s">
        <v>0</v>
      </c>
      <c r="B8" s="51" t="s">
        <v>27</v>
      </c>
      <c r="C8" s="51" t="s">
        <v>28</v>
      </c>
      <c r="D8" s="51" t="s">
        <v>48</v>
      </c>
    </row>
    <row r="9" spans="1:256" ht="26.4" x14ac:dyDescent="0.25">
      <c r="A9" s="29" t="s">
        <v>139</v>
      </c>
      <c r="B9" s="48"/>
      <c r="C9" s="49"/>
      <c r="D9" s="47"/>
    </row>
    <row r="10" spans="1:256" s="33" customFormat="1" ht="13.8" x14ac:dyDescent="0.25">
      <c r="A10" s="68" t="s">
        <v>140</v>
      </c>
      <c r="B10" s="101">
        <v>46097</v>
      </c>
      <c r="C10" s="102">
        <v>127.5</v>
      </c>
      <c r="D10" s="32" t="s">
        <v>141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</row>
    <row r="11" spans="1:256" ht="13.8" x14ac:dyDescent="0.25">
      <c r="A11" s="20" t="s">
        <v>142</v>
      </c>
      <c r="B11" s="75"/>
      <c r="C11" s="103">
        <f>SUM(C10:C10)</f>
        <v>127.5</v>
      </c>
      <c r="D11" s="47"/>
    </row>
    <row r="12" spans="1:256" ht="26.4" x14ac:dyDescent="0.25">
      <c r="A12" s="29" t="s">
        <v>143</v>
      </c>
      <c r="B12" s="76"/>
      <c r="C12" s="49"/>
      <c r="D12" s="47"/>
    </row>
    <row r="13" spans="1:256" ht="15" customHeight="1" x14ac:dyDescent="0.25">
      <c r="A13" s="68" t="s">
        <v>164</v>
      </c>
      <c r="B13" s="101">
        <v>46128</v>
      </c>
      <c r="C13" s="31">
        <v>90</v>
      </c>
      <c r="D13" s="34" t="s">
        <v>144</v>
      </c>
    </row>
    <row r="14" spans="1:256" s="33" customFormat="1" ht="13.8" x14ac:dyDescent="0.25">
      <c r="A14" s="68" t="s">
        <v>165</v>
      </c>
      <c r="B14" s="101">
        <v>46130</v>
      </c>
      <c r="C14" s="31">
        <v>90</v>
      </c>
      <c r="D14" s="32" t="s">
        <v>144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</row>
    <row r="15" spans="1:256" s="33" customFormat="1" ht="13.8" x14ac:dyDescent="0.25">
      <c r="A15" s="68" t="s">
        <v>166</v>
      </c>
      <c r="B15" s="101">
        <v>46132</v>
      </c>
      <c r="C15" s="31">
        <v>120</v>
      </c>
      <c r="D15" s="32" t="s">
        <v>145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</row>
    <row r="16" spans="1:256" s="33" customFormat="1" ht="13.8" x14ac:dyDescent="0.25">
      <c r="A16" s="68" t="s">
        <v>167</v>
      </c>
      <c r="B16" s="101">
        <v>46134</v>
      </c>
      <c r="C16" s="31">
        <v>60</v>
      </c>
      <c r="D16" s="32" t="s">
        <v>146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/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16"/>
      <c r="GI16" s="16"/>
      <c r="GJ16" s="16"/>
      <c r="GK16" s="16"/>
      <c r="GL16" s="16"/>
      <c r="GM16" s="16"/>
      <c r="GN16" s="16"/>
      <c r="GO16" s="16"/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  <c r="HM16" s="16"/>
      <c r="HN16" s="16"/>
      <c r="HO16" s="16"/>
      <c r="HP16" s="16"/>
      <c r="HQ16" s="16"/>
      <c r="HR16" s="16"/>
      <c r="HS16" s="16"/>
      <c r="HT16" s="16"/>
      <c r="HU16" s="16"/>
      <c r="HV16" s="16"/>
      <c r="HW16" s="16"/>
      <c r="HX16" s="16"/>
      <c r="HY16" s="16"/>
      <c r="HZ16" s="16"/>
      <c r="IA16" s="16"/>
      <c r="IB16" s="16"/>
      <c r="IC16" s="16"/>
      <c r="ID16" s="16"/>
      <c r="IE16" s="16"/>
      <c r="IF16" s="16"/>
      <c r="IG16" s="16"/>
      <c r="IH16" s="16"/>
      <c r="II16" s="16"/>
      <c r="IJ16" s="16"/>
      <c r="IK16" s="16"/>
      <c r="IL16" s="16"/>
      <c r="IM16" s="16"/>
      <c r="IN16" s="16"/>
      <c r="IO16" s="16"/>
      <c r="IP16" s="16"/>
      <c r="IQ16" s="16"/>
      <c r="IR16" s="16"/>
      <c r="IS16" s="16"/>
      <c r="IT16" s="16"/>
      <c r="IU16" s="16"/>
      <c r="IV16" s="16"/>
    </row>
    <row r="17" spans="1:256" s="33" customFormat="1" ht="26.4" x14ac:dyDescent="0.25">
      <c r="A17" s="68" t="s">
        <v>151</v>
      </c>
      <c r="B17" s="101">
        <v>46149</v>
      </c>
      <c r="C17" s="31">
        <v>90</v>
      </c>
      <c r="D17" s="32" t="s">
        <v>144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16"/>
      <c r="EZ17" s="16"/>
      <c r="FA17" s="16"/>
      <c r="FB17" s="16"/>
      <c r="FC17" s="16"/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16"/>
      <c r="GI17" s="16"/>
      <c r="GJ17" s="16"/>
      <c r="GK17" s="16"/>
      <c r="GL17" s="16"/>
      <c r="GM17" s="16"/>
      <c r="GN17" s="16"/>
      <c r="GO17" s="16"/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16"/>
      <c r="HE17" s="16"/>
      <c r="HF17" s="16"/>
      <c r="HG17" s="16"/>
      <c r="HH17" s="16"/>
      <c r="HI17" s="16"/>
      <c r="HJ17" s="16"/>
      <c r="HK17" s="16"/>
      <c r="HL17" s="16"/>
      <c r="HM17" s="16"/>
      <c r="HN17" s="16"/>
      <c r="HO17" s="16"/>
      <c r="HP17" s="16"/>
      <c r="HQ17" s="16"/>
      <c r="HR17" s="16"/>
      <c r="HS17" s="16"/>
      <c r="HT17" s="16"/>
      <c r="HU17" s="16"/>
      <c r="HV17" s="16"/>
      <c r="HW17" s="16"/>
      <c r="HX17" s="16"/>
      <c r="HY17" s="16"/>
      <c r="HZ17" s="16"/>
      <c r="IA17" s="16"/>
      <c r="IB17" s="16"/>
      <c r="IC17" s="16"/>
      <c r="ID17" s="16"/>
      <c r="IE17" s="16"/>
      <c r="IF17" s="16"/>
      <c r="IG17" s="16"/>
      <c r="IH17" s="16"/>
      <c r="II17" s="16"/>
      <c r="IJ17" s="16"/>
      <c r="IK17" s="16"/>
      <c r="IL17" s="16"/>
      <c r="IM17" s="16"/>
      <c r="IN17" s="16"/>
      <c r="IO17" s="16"/>
      <c r="IP17" s="16"/>
      <c r="IQ17" s="16"/>
      <c r="IR17" s="16"/>
      <c r="IS17" s="16"/>
      <c r="IT17" s="16"/>
      <c r="IU17" s="16"/>
      <c r="IV17" s="16"/>
    </row>
    <row r="18" spans="1:256" ht="13.8" x14ac:dyDescent="0.25">
      <c r="A18" s="20" t="s">
        <v>1</v>
      </c>
      <c r="B18" s="75"/>
      <c r="C18" s="44">
        <f>SUM(C13:C17)</f>
        <v>450</v>
      </c>
      <c r="D18" s="47"/>
    </row>
    <row r="19" spans="1:256" ht="26.4" x14ac:dyDescent="0.25">
      <c r="A19" s="29" t="s">
        <v>150</v>
      </c>
      <c r="B19" s="76"/>
      <c r="C19" s="49"/>
      <c r="D19" s="47"/>
    </row>
    <row r="20" spans="1:256" ht="13.8" x14ac:dyDescent="0.25">
      <c r="A20" s="68" t="s">
        <v>126</v>
      </c>
      <c r="B20" s="101">
        <v>46136</v>
      </c>
      <c r="C20" s="31">
        <v>90</v>
      </c>
      <c r="D20" s="32" t="s">
        <v>144</v>
      </c>
    </row>
    <row r="21" spans="1:256" ht="15" customHeight="1" x14ac:dyDescent="0.25">
      <c r="A21" s="68" t="s">
        <v>147</v>
      </c>
      <c r="B21" s="101">
        <v>46138</v>
      </c>
      <c r="C21" s="31">
        <v>60</v>
      </c>
      <c r="D21" s="32" t="s">
        <v>146</v>
      </c>
    </row>
    <row r="22" spans="1:256" s="33" customFormat="1" ht="13.8" x14ac:dyDescent="0.25">
      <c r="A22" s="68" t="s">
        <v>148</v>
      </c>
      <c r="B22" s="101">
        <v>46140</v>
      </c>
      <c r="C22" s="31">
        <v>80</v>
      </c>
      <c r="D22" s="32" t="s">
        <v>149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6"/>
      <c r="EG22" s="16"/>
      <c r="EH22" s="16"/>
      <c r="EI22" s="16"/>
      <c r="EJ22" s="16"/>
      <c r="EK22" s="16"/>
      <c r="EL22" s="16"/>
      <c r="EM22" s="16"/>
      <c r="EN22" s="16"/>
      <c r="EO22" s="16"/>
      <c r="EP22" s="16"/>
      <c r="EQ22" s="16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/>
      <c r="FD22" s="16"/>
      <c r="FE22" s="16"/>
      <c r="FF22" s="16"/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6"/>
      <c r="GH22" s="16"/>
      <c r="GI22" s="16"/>
      <c r="GJ22" s="16"/>
      <c r="GK22" s="16"/>
      <c r="GL22" s="16"/>
      <c r="GM22" s="16"/>
      <c r="GN22" s="16"/>
      <c r="GO22" s="16"/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  <c r="HM22" s="16"/>
      <c r="HN22" s="16"/>
      <c r="HO22" s="16"/>
      <c r="HP22" s="16"/>
      <c r="HQ22" s="16"/>
      <c r="HR22" s="16"/>
      <c r="HS22" s="16"/>
      <c r="HT22" s="16"/>
      <c r="HU22" s="16"/>
      <c r="HV22" s="16"/>
      <c r="HW22" s="16"/>
      <c r="HX22" s="16"/>
      <c r="HY22" s="16"/>
      <c r="HZ22" s="16"/>
      <c r="IA22" s="16"/>
      <c r="IB22" s="16"/>
      <c r="IC22" s="16"/>
      <c r="ID22" s="16"/>
      <c r="IE22" s="16"/>
      <c r="IF22" s="16"/>
      <c r="IG22" s="16"/>
      <c r="IH22" s="16"/>
      <c r="II22" s="16"/>
      <c r="IJ22" s="16"/>
      <c r="IK22" s="16"/>
      <c r="IL22" s="16"/>
      <c r="IM22" s="16"/>
      <c r="IN22" s="16"/>
      <c r="IO22" s="16"/>
      <c r="IP22" s="16"/>
      <c r="IQ22" s="16"/>
      <c r="IR22" s="16"/>
      <c r="IS22" s="16"/>
      <c r="IT22" s="16"/>
      <c r="IU22" s="16"/>
      <c r="IV22" s="16"/>
    </row>
    <row r="23" spans="1:256" s="33" customFormat="1" ht="13.8" x14ac:dyDescent="0.25">
      <c r="A23" s="68" t="s">
        <v>154</v>
      </c>
      <c r="B23" s="101">
        <v>46156</v>
      </c>
      <c r="C23" s="31">
        <v>90</v>
      </c>
      <c r="D23" s="32" t="s">
        <v>144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  <c r="EZ23" s="16"/>
      <c r="FA23" s="16"/>
      <c r="FB23" s="16"/>
      <c r="FC23" s="16"/>
      <c r="FD23" s="16"/>
      <c r="FE23" s="16"/>
      <c r="FF23" s="16"/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6"/>
      <c r="FS23" s="16"/>
      <c r="FT23" s="16"/>
      <c r="FU23" s="16"/>
      <c r="FV23" s="16"/>
      <c r="FW23" s="16"/>
      <c r="FX23" s="16"/>
      <c r="FY23" s="16"/>
      <c r="FZ23" s="16"/>
      <c r="GA23" s="16"/>
      <c r="GB23" s="16"/>
      <c r="GC23" s="16"/>
      <c r="GD23" s="16"/>
      <c r="GE23" s="16"/>
      <c r="GF23" s="16"/>
      <c r="GG23" s="16"/>
      <c r="GH23" s="16"/>
      <c r="GI23" s="16"/>
      <c r="GJ23" s="16"/>
      <c r="GK23" s="16"/>
      <c r="GL23" s="16"/>
      <c r="GM23" s="16"/>
      <c r="GN23" s="16"/>
      <c r="GO23" s="16"/>
      <c r="GP23" s="16"/>
      <c r="GQ23" s="16"/>
      <c r="GR23" s="16"/>
      <c r="GS23" s="16"/>
      <c r="GT23" s="16"/>
      <c r="GU23" s="16"/>
      <c r="GV23" s="16"/>
      <c r="GW23" s="16"/>
      <c r="GX23" s="16"/>
      <c r="GY23" s="16"/>
      <c r="GZ23" s="16"/>
      <c r="HA23" s="16"/>
      <c r="HB23" s="16"/>
      <c r="HC23" s="16"/>
      <c r="HD23" s="16"/>
      <c r="HE23" s="16"/>
      <c r="HF23" s="16"/>
      <c r="HG23" s="16"/>
      <c r="HH23" s="16"/>
      <c r="HI23" s="16"/>
      <c r="HJ23" s="16"/>
      <c r="HK23" s="16"/>
      <c r="HL23" s="16"/>
      <c r="HM23" s="16"/>
      <c r="HN23" s="16"/>
      <c r="HO23" s="16"/>
      <c r="HP23" s="16"/>
      <c r="HQ23" s="16"/>
      <c r="HR23" s="16"/>
      <c r="HS23" s="16"/>
      <c r="HT23" s="16"/>
      <c r="HU23" s="16"/>
      <c r="HV23" s="16"/>
      <c r="HW23" s="16"/>
      <c r="HX23" s="16"/>
      <c r="HY23" s="16"/>
      <c r="HZ23" s="16"/>
      <c r="IA23" s="16"/>
      <c r="IB23" s="16"/>
      <c r="IC23" s="16"/>
      <c r="ID23" s="16"/>
      <c r="IE23" s="16"/>
      <c r="IF23" s="16"/>
      <c r="IG23" s="16"/>
      <c r="IH23" s="16"/>
      <c r="II23" s="16"/>
      <c r="IJ23" s="16"/>
      <c r="IK23" s="16"/>
      <c r="IL23" s="16"/>
      <c r="IM23" s="16"/>
      <c r="IN23" s="16"/>
      <c r="IO23" s="16"/>
      <c r="IP23" s="16"/>
      <c r="IQ23" s="16"/>
      <c r="IR23" s="16"/>
      <c r="IS23" s="16"/>
      <c r="IT23" s="16"/>
      <c r="IU23" s="16"/>
      <c r="IV23" s="16"/>
    </row>
    <row r="24" spans="1:256" s="33" customFormat="1" ht="13.8" x14ac:dyDescent="0.25">
      <c r="A24" s="20" t="s">
        <v>1</v>
      </c>
      <c r="B24" s="75"/>
      <c r="C24" s="44">
        <f>SUM(C20:C23)</f>
        <v>320</v>
      </c>
      <c r="D24" s="47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</row>
    <row r="25" spans="1:256" s="33" customFormat="1" ht="26.4" x14ac:dyDescent="0.25">
      <c r="A25" s="29" t="s">
        <v>156</v>
      </c>
      <c r="B25" s="76"/>
      <c r="C25" s="49"/>
      <c r="D25" s="47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</row>
    <row r="26" spans="1:256" s="33" customFormat="1" ht="13.8" x14ac:dyDescent="0.25">
      <c r="A26" s="68" t="s">
        <v>152</v>
      </c>
      <c r="B26" s="101">
        <v>46152</v>
      </c>
      <c r="C26" s="31">
        <v>150</v>
      </c>
      <c r="D26" s="32" t="s">
        <v>153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6"/>
      <c r="EG26" s="16"/>
      <c r="EH26" s="16"/>
      <c r="EI26" s="16"/>
      <c r="EJ26" s="16"/>
      <c r="EK26" s="16"/>
      <c r="EL26" s="16"/>
      <c r="EM26" s="16"/>
      <c r="EN26" s="16"/>
      <c r="EO26" s="16"/>
      <c r="EP26" s="16"/>
      <c r="EQ26" s="16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/>
      <c r="FD26" s="16"/>
      <c r="FE26" s="16"/>
      <c r="FF26" s="16"/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6"/>
      <c r="GH26" s="16"/>
      <c r="GI26" s="16"/>
      <c r="GJ26" s="16"/>
      <c r="GK26" s="16"/>
      <c r="GL26" s="16"/>
      <c r="GM26" s="16"/>
      <c r="GN26" s="16"/>
      <c r="GO26" s="16"/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  <c r="HM26" s="16"/>
      <c r="HN26" s="16"/>
      <c r="HO26" s="16"/>
      <c r="HP26" s="16"/>
      <c r="HQ26" s="16"/>
      <c r="HR26" s="16"/>
      <c r="HS26" s="16"/>
      <c r="HT26" s="16"/>
      <c r="HU26" s="16"/>
      <c r="HV26" s="16"/>
      <c r="HW26" s="16"/>
      <c r="HX26" s="16"/>
      <c r="HY26" s="16"/>
      <c r="HZ26" s="16"/>
      <c r="IA26" s="16"/>
      <c r="IB26" s="16"/>
      <c r="IC26" s="16"/>
      <c r="ID26" s="16"/>
      <c r="IE26" s="16"/>
      <c r="IF26" s="16"/>
      <c r="IG26" s="16"/>
      <c r="IH26" s="16"/>
      <c r="II26" s="16"/>
      <c r="IJ26" s="16"/>
      <c r="IK26" s="16"/>
      <c r="IL26" s="16"/>
      <c r="IM26" s="16"/>
      <c r="IN26" s="16"/>
      <c r="IO26" s="16"/>
      <c r="IP26" s="16"/>
      <c r="IQ26" s="16"/>
      <c r="IR26" s="16"/>
      <c r="IS26" s="16"/>
      <c r="IT26" s="16"/>
      <c r="IU26" s="16"/>
      <c r="IV26" s="16"/>
    </row>
    <row r="27" spans="1:256" s="33" customFormat="1" ht="26.4" x14ac:dyDescent="0.25">
      <c r="A27" s="68" t="s">
        <v>157</v>
      </c>
      <c r="B27" s="101">
        <v>46174</v>
      </c>
      <c r="C27" s="31">
        <v>90</v>
      </c>
      <c r="D27" s="32" t="s">
        <v>144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  <c r="DY27" s="16"/>
      <c r="DZ27" s="16"/>
      <c r="EA27" s="16"/>
      <c r="EB27" s="16"/>
      <c r="EC27" s="16"/>
      <c r="ED27" s="16"/>
      <c r="EE27" s="16"/>
      <c r="EF27" s="16"/>
      <c r="EG27" s="16"/>
      <c r="EH27" s="16"/>
      <c r="EI27" s="16"/>
      <c r="EJ27" s="16"/>
      <c r="EK27" s="16"/>
      <c r="EL27" s="16"/>
      <c r="EM27" s="16"/>
      <c r="EN27" s="16"/>
      <c r="EO27" s="16"/>
      <c r="EP27" s="16"/>
      <c r="EQ27" s="16"/>
      <c r="ER27" s="16"/>
      <c r="ES27" s="16"/>
      <c r="ET27" s="16"/>
      <c r="EU27" s="16"/>
      <c r="EV27" s="16"/>
      <c r="EW27" s="16"/>
      <c r="EX27" s="16"/>
      <c r="EY27" s="16"/>
      <c r="EZ27" s="16"/>
      <c r="FA27" s="16"/>
      <c r="FB27" s="16"/>
      <c r="FC27" s="16"/>
      <c r="FD27" s="16"/>
      <c r="FE27" s="16"/>
      <c r="FF27" s="16"/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6"/>
      <c r="FS27" s="16"/>
      <c r="FT27" s="16"/>
      <c r="FU27" s="16"/>
      <c r="FV27" s="16"/>
      <c r="FW27" s="16"/>
      <c r="FX27" s="16"/>
      <c r="FY27" s="16"/>
      <c r="FZ27" s="16"/>
      <c r="GA27" s="16"/>
      <c r="GB27" s="16"/>
      <c r="GC27" s="16"/>
      <c r="GD27" s="16"/>
      <c r="GE27" s="16"/>
      <c r="GF27" s="16"/>
      <c r="GG27" s="16"/>
      <c r="GH27" s="16"/>
      <c r="GI27" s="16"/>
      <c r="GJ27" s="16"/>
      <c r="GK27" s="16"/>
      <c r="GL27" s="16"/>
      <c r="GM27" s="16"/>
      <c r="GN27" s="16"/>
      <c r="GO27" s="16"/>
      <c r="GP27" s="16"/>
      <c r="GQ27" s="16"/>
      <c r="GR27" s="16"/>
      <c r="GS27" s="16"/>
      <c r="GT27" s="16"/>
      <c r="GU27" s="16"/>
      <c r="GV27" s="16"/>
      <c r="GW27" s="16"/>
      <c r="GX27" s="16"/>
      <c r="GY27" s="16"/>
      <c r="GZ27" s="16"/>
      <c r="HA27" s="16"/>
      <c r="HB27" s="16"/>
      <c r="HC27" s="16"/>
      <c r="HD27" s="16"/>
      <c r="HE27" s="16"/>
      <c r="HF27" s="16"/>
      <c r="HG27" s="16"/>
      <c r="HH27" s="16"/>
      <c r="HI27" s="16"/>
      <c r="HJ27" s="16"/>
      <c r="HK27" s="16"/>
      <c r="HL27" s="16"/>
      <c r="HM27" s="16"/>
      <c r="HN27" s="16"/>
      <c r="HO27" s="16"/>
      <c r="HP27" s="16"/>
      <c r="HQ27" s="16"/>
      <c r="HR27" s="16"/>
      <c r="HS27" s="16"/>
      <c r="HT27" s="16"/>
      <c r="HU27" s="16"/>
      <c r="HV27" s="16"/>
      <c r="HW27" s="16"/>
      <c r="HX27" s="16"/>
      <c r="HY27" s="16"/>
      <c r="HZ27" s="16"/>
      <c r="IA27" s="16"/>
      <c r="IB27" s="16"/>
      <c r="IC27" s="16"/>
      <c r="ID27" s="16"/>
      <c r="IE27" s="16"/>
      <c r="IF27" s="16"/>
      <c r="IG27" s="16"/>
      <c r="IH27" s="16"/>
      <c r="II27" s="16"/>
      <c r="IJ27" s="16"/>
      <c r="IK27" s="16"/>
      <c r="IL27" s="16"/>
      <c r="IM27" s="16"/>
      <c r="IN27" s="16"/>
      <c r="IO27" s="16"/>
      <c r="IP27" s="16"/>
      <c r="IQ27" s="16"/>
      <c r="IR27" s="16"/>
      <c r="IS27" s="16"/>
      <c r="IT27" s="16"/>
      <c r="IU27" s="16"/>
      <c r="IV27" s="16"/>
    </row>
    <row r="28" spans="1:256" s="33" customFormat="1" ht="13.8" x14ac:dyDescent="0.25">
      <c r="A28" s="68" t="s">
        <v>155</v>
      </c>
      <c r="B28" s="101">
        <v>46158</v>
      </c>
      <c r="C28" s="31">
        <v>60</v>
      </c>
      <c r="D28" s="32" t="s">
        <v>146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6"/>
      <c r="EG28" s="16"/>
      <c r="EH28" s="16"/>
      <c r="EI28" s="16"/>
      <c r="EJ28" s="16"/>
      <c r="EK28" s="16"/>
      <c r="EL28" s="16"/>
      <c r="EM28" s="16"/>
      <c r="EN28" s="16"/>
      <c r="EO28" s="16"/>
      <c r="EP28" s="16"/>
      <c r="EQ28" s="16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/>
      <c r="FD28" s="16"/>
      <c r="FE28" s="16"/>
      <c r="FF28" s="16"/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6"/>
      <c r="GH28" s="16"/>
      <c r="GI28" s="16"/>
      <c r="GJ28" s="16"/>
      <c r="GK28" s="16"/>
      <c r="GL28" s="16"/>
      <c r="GM28" s="16"/>
      <c r="GN28" s="16"/>
      <c r="GO28" s="16"/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  <c r="HM28" s="16"/>
      <c r="HN28" s="16"/>
      <c r="HO28" s="16"/>
      <c r="HP28" s="16"/>
      <c r="HQ28" s="16"/>
      <c r="HR28" s="16"/>
      <c r="HS28" s="16"/>
      <c r="HT28" s="16"/>
      <c r="HU28" s="16"/>
      <c r="HV28" s="16"/>
      <c r="HW28" s="16"/>
      <c r="HX28" s="16"/>
      <c r="HY28" s="16"/>
      <c r="HZ28" s="16"/>
      <c r="IA28" s="16"/>
      <c r="IB28" s="16"/>
      <c r="IC28" s="16"/>
      <c r="ID28" s="16"/>
      <c r="IE28" s="16"/>
      <c r="IF28" s="16"/>
      <c r="IG28" s="16"/>
      <c r="IH28" s="16"/>
      <c r="II28" s="16"/>
      <c r="IJ28" s="16"/>
      <c r="IK28" s="16"/>
      <c r="IL28" s="16"/>
      <c r="IM28" s="16"/>
      <c r="IN28" s="16"/>
      <c r="IO28" s="16"/>
      <c r="IP28" s="16"/>
      <c r="IQ28" s="16"/>
      <c r="IR28" s="16"/>
      <c r="IS28" s="16"/>
      <c r="IT28" s="16"/>
      <c r="IU28" s="16"/>
      <c r="IV28" s="16"/>
    </row>
    <row r="29" spans="1:256" s="33" customFormat="1" ht="13.8" x14ac:dyDescent="0.25">
      <c r="A29" s="20" t="s">
        <v>1</v>
      </c>
      <c r="B29" s="75"/>
      <c r="C29" s="44">
        <f>SUM(C26:C28)</f>
        <v>300</v>
      </c>
      <c r="D29" s="47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</row>
    <row r="30" spans="1:256" ht="26.4" x14ac:dyDescent="0.25">
      <c r="A30" s="29" t="s">
        <v>156</v>
      </c>
      <c r="B30" s="76"/>
      <c r="C30" s="49"/>
      <c r="D30" s="47"/>
    </row>
    <row r="31" spans="1:256" s="33" customFormat="1" ht="13.8" x14ac:dyDescent="0.25">
      <c r="A31" s="68" t="s">
        <v>158</v>
      </c>
      <c r="B31" s="101">
        <v>46176</v>
      </c>
      <c r="C31" s="31">
        <v>40</v>
      </c>
      <c r="D31" s="32" t="s">
        <v>159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  <c r="DY31" s="16"/>
      <c r="DZ31" s="16"/>
      <c r="EA31" s="16"/>
      <c r="EB31" s="16"/>
      <c r="EC31" s="16"/>
      <c r="ED31" s="16"/>
      <c r="EE31" s="16"/>
      <c r="EF31" s="16"/>
      <c r="EG31" s="16"/>
      <c r="EH31" s="16"/>
      <c r="EI31" s="16"/>
      <c r="EJ31" s="16"/>
      <c r="EK31" s="16"/>
      <c r="EL31" s="16"/>
      <c r="EM31" s="16"/>
      <c r="EN31" s="16"/>
      <c r="EO31" s="16"/>
      <c r="EP31" s="16"/>
      <c r="EQ31" s="16"/>
      <c r="ER31" s="16"/>
      <c r="ES31" s="16"/>
      <c r="ET31" s="16"/>
      <c r="EU31" s="16"/>
      <c r="EV31" s="16"/>
      <c r="EW31" s="16"/>
      <c r="EX31" s="16"/>
      <c r="EY31" s="16"/>
      <c r="EZ31" s="16"/>
      <c r="FA31" s="16"/>
      <c r="FB31" s="16"/>
      <c r="FC31" s="16"/>
      <c r="FD31" s="16"/>
      <c r="FE31" s="16"/>
      <c r="FF31" s="16"/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6"/>
      <c r="FS31" s="16"/>
      <c r="FT31" s="16"/>
      <c r="FU31" s="16"/>
      <c r="FV31" s="16"/>
      <c r="FW31" s="16"/>
      <c r="FX31" s="16"/>
      <c r="FY31" s="16"/>
      <c r="FZ31" s="16"/>
      <c r="GA31" s="16"/>
      <c r="GB31" s="16"/>
      <c r="GC31" s="16"/>
      <c r="GD31" s="16"/>
      <c r="GE31" s="16"/>
      <c r="GF31" s="16"/>
      <c r="GG31" s="16"/>
      <c r="GH31" s="16"/>
      <c r="GI31" s="16"/>
      <c r="GJ31" s="16"/>
      <c r="GK31" s="16"/>
      <c r="GL31" s="16"/>
      <c r="GM31" s="16"/>
      <c r="GN31" s="16"/>
      <c r="GO31" s="16"/>
      <c r="GP31" s="16"/>
      <c r="GQ31" s="16"/>
      <c r="GR31" s="16"/>
      <c r="GS31" s="16"/>
      <c r="GT31" s="16"/>
      <c r="GU31" s="16"/>
      <c r="GV31" s="16"/>
      <c r="GW31" s="16"/>
      <c r="GX31" s="16"/>
      <c r="GY31" s="16"/>
      <c r="GZ31" s="16"/>
      <c r="HA31" s="16"/>
      <c r="HB31" s="16"/>
      <c r="HC31" s="16"/>
      <c r="HD31" s="16"/>
      <c r="HE31" s="16"/>
      <c r="HF31" s="16"/>
      <c r="HG31" s="16"/>
      <c r="HH31" s="16"/>
      <c r="HI31" s="16"/>
      <c r="HJ31" s="16"/>
      <c r="HK31" s="16"/>
      <c r="HL31" s="16"/>
      <c r="HM31" s="16"/>
      <c r="HN31" s="16"/>
      <c r="HO31" s="16"/>
      <c r="HP31" s="16"/>
      <c r="HQ31" s="16"/>
      <c r="HR31" s="16"/>
      <c r="HS31" s="16"/>
      <c r="HT31" s="16"/>
      <c r="HU31" s="16"/>
      <c r="HV31" s="16"/>
      <c r="HW31" s="16"/>
      <c r="HX31" s="16"/>
      <c r="HY31" s="16"/>
      <c r="HZ31" s="16"/>
      <c r="IA31" s="16"/>
      <c r="IB31" s="16"/>
      <c r="IC31" s="16"/>
      <c r="ID31" s="16"/>
      <c r="IE31" s="16"/>
      <c r="IF31" s="16"/>
      <c r="IG31" s="16"/>
      <c r="IH31" s="16"/>
      <c r="II31" s="16"/>
      <c r="IJ31" s="16"/>
      <c r="IK31" s="16"/>
      <c r="IL31" s="16"/>
      <c r="IM31" s="16"/>
      <c r="IN31" s="16"/>
      <c r="IO31" s="16"/>
      <c r="IP31" s="16"/>
      <c r="IQ31" s="16"/>
      <c r="IR31" s="16"/>
      <c r="IS31" s="16"/>
      <c r="IT31" s="16"/>
      <c r="IU31" s="16"/>
      <c r="IV31" s="16"/>
    </row>
    <row r="32" spans="1:256" s="33" customFormat="1" ht="13.8" x14ac:dyDescent="0.25">
      <c r="A32" s="68" t="s">
        <v>160</v>
      </c>
      <c r="B32" s="101">
        <v>46178</v>
      </c>
      <c r="C32" s="31">
        <v>60</v>
      </c>
      <c r="D32" s="32" t="s">
        <v>146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6"/>
      <c r="EG32" s="16"/>
      <c r="EH32" s="16"/>
      <c r="EI32" s="16"/>
      <c r="EJ32" s="16"/>
      <c r="EK32" s="16"/>
      <c r="EL32" s="16"/>
      <c r="EM32" s="16"/>
      <c r="EN32" s="16"/>
      <c r="EO32" s="16"/>
      <c r="EP32" s="16"/>
      <c r="EQ32" s="16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/>
      <c r="FD32" s="16"/>
      <c r="FE32" s="16"/>
      <c r="FF32" s="16"/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6"/>
      <c r="GH32" s="16"/>
      <c r="GI32" s="16"/>
      <c r="GJ32" s="16"/>
      <c r="GK32" s="16"/>
      <c r="GL32" s="16"/>
      <c r="GM32" s="16"/>
      <c r="GN32" s="16"/>
      <c r="GO32" s="16"/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  <c r="HM32" s="16"/>
      <c r="HN32" s="16"/>
      <c r="HO32" s="16"/>
      <c r="HP32" s="16"/>
      <c r="HQ32" s="16"/>
      <c r="HR32" s="16"/>
      <c r="HS32" s="16"/>
      <c r="HT32" s="16"/>
      <c r="HU32" s="16"/>
      <c r="HV32" s="16"/>
      <c r="HW32" s="16"/>
      <c r="HX32" s="16"/>
      <c r="HY32" s="16"/>
      <c r="HZ32" s="16"/>
      <c r="IA32" s="16"/>
      <c r="IB32" s="16"/>
      <c r="IC32" s="16"/>
      <c r="ID32" s="16"/>
      <c r="IE32" s="16"/>
      <c r="IF32" s="16"/>
      <c r="IG32" s="16"/>
      <c r="IH32" s="16"/>
      <c r="II32" s="16"/>
      <c r="IJ32" s="16"/>
      <c r="IK32" s="16"/>
      <c r="IL32" s="16"/>
      <c r="IM32" s="16"/>
      <c r="IN32" s="16"/>
      <c r="IO32" s="16"/>
      <c r="IP32" s="16"/>
      <c r="IQ32" s="16"/>
      <c r="IR32" s="16"/>
      <c r="IS32" s="16"/>
      <c r="IT32" s="16"/>
      <c r="IU32" s="16"/>
      <c r="IV32" s="16"/>
    </row>
    <row r="33" spans="1:256" s="33" customFormat="1" ht="13.8" x14ac:dyDescent="0.25">
      <c r="A33" s="68" t="s">
        <v>127</v>
      </c>
      <c r="B33" s="101">
        <v>46180</v>
      </c>
      <c r="C33" s="31">
        <v>40</v>
      </c>
      <c r="D33" s="32" t="s">
        <v>159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</row>
    <row r="34" spans="1:256" ht="13.8" x14ac:dyDescent="0.25">
      <c r="A34" s="20" t="s">
        <v>1</v>
      </c>
      <c r="B34" s="75"/>
      <c r="C34" s="44">
        <f>SUM(C31:C33)</f>
        <v>140</v>
      </c>
      <c r="D34" s="47"/>
    </row>
    <row r="35" spans="1:256" ht="13.8" x14ac:dyDescent="0.25">
      <c r="A35" s="45" t="s">
        <v>31</v>
      </c>
      <c r="B35" s="77"/>
      <c r="C35" s="46">
        <f>SUM(C11,C18,C24,C29,C34)</f>
        <v>1337.5</v>
      </c>
      <c r="D35" s="47"/>
    </row>
  </sheetData>
  <mergeCells count="6">
    <mergeCell ref="A1:D1"/>
    <mergeCell ref="A2:D2"/>
    <mergeCell ref="B3:C3"/>
    <mergeCell ref="D3:D4"/>
    <mergeCell ref="B4:C4"/>
    <mergeCell ref="A5:D5"/>
  </mergeCells>
  <pageMargins left="0.75" right="0.75" top="1" bottom="1" header="0.5" footer="0.5"/>
  <pageSetup scale="93" orientation="landscape" r:id="rId1"/>
  <headerFooter alignWithMargins="0">
    <oddHeader>&amp;LPut your logo here&amp;C&amp;"Arial,Bold"&amp;14Project Budget Template&amp;R&amp;"Arial,Bold"&amp;12Your Organization
Name Here</oddHeader>
    <oddFooter>&amp;L&amp;8Template: Project Budget Template [Rev. 2.2 8-30-04]&amp;CPage &amp;P of &amp;N&amp;RPrint Date: &amp;D</oddFooter>
  </headerFooter>
  <rowBreaks count="1" manualBreakCount="1">
    <brk id="18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A853-FB65-42BC-A601-84EED6BCDCDF}">
  <dimension ref="A1:R34"/>
  <sheetViews>
    <sheetView topLeftCell="A13" zoomScale="70" workbookViewId="0">
      <selection activeCell="R34" sqref="R34"/>
    </sheetView>
  </sheetViews>
  <sheetFormatPr baseColWidth="10" defaultColWidth="9.109375" defaultRowHeight="13.2" x14ac:dyDescent="0.25"/>
  <sheetData>
    <row r="1" spans="1:13" x14ac:dyDescent="0.25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2" spans="1:13" ht="52.5" customHeight="1" x14ac:dyDescent="0.25">
      <c r="A2" s="146" t="s">
        <v>45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</row>
    <row r="4" spans="1:13" ht="24.75" customHeight="1" x14ac:dyDescent="0.25">
      <c r="A4" s="147" t="s">
        <v>6</v>
      </c>
      <c r="B4" s="144"/>
      <c r="C4" s="144"/>
      <c r="D4" s="144"/>
      <c r="E4" s="144"/>
      <c r="F4" s="144"/>
      <c r="G4" s="144"/>
      <c r="H4" s="144"/>
      <c r="I4" s="144"/>
      <c r="J4" s="144"/>
    </row>
    <row r="5" spans="1:13" x14ac:dyDescent="0.25">
      <c r="A5" s="144" t="s">
        <v>7</v>
      </c>
      <c r="B5" s="144"/>
      <c r="C5" s="144"/>
      <c r="D5" s="144"/>
      <c r="E5" s="144"/>
      <c r="F5" s="144"/>
      <c r="G5" s="144"/>
      <c r="H5" s="144"/>
      <c r="I5" s="144"/>
      <c r="J5" s="144"/>
    </row>
    <row r="6" spans="1:13" x14ac:dyDescent="0.25">
      <c r="A6" s="144" t="s">
        <v>5</v>
      </c>
      <c r="B6" s="144"/>
      <c r="C6" s="144"/>
      <c r="D6" s="144"/>
      <c r="E6" s="144"/>
      <c r="F6" s="144"/>
      <c r="G6" s="144"/>
      <c r="H6" s="144"/>
      <c r="I6" s="144"/>
      <c r="J6" s="144"/>
    </row>
    <row r="7" spans="1:13" s="21" customFormat="1" x14ac:dyDescent="0.25">
      <c r="A7" s="144" t="s">
        <v>3</v>
      </c>
      <c r="B7" s="144"/>
      <c r="C7" s="144"/>
      <c r="D7" s="144"/>
      <c r="E7" s="144"/>
      <c r="F7" s="144"/>
      <c r="G7" s="144"/>
      <c r="H7" s="144"/>
      <c r="I7" s="144"/>
      <c r="J7" s="144"/>
    </row>
    <row r="8" spans="1:13" s="21" customFormat="1" x14ac:dyDescent="0.25">
      <c r="A8" s="142" t="s">
        <v>8</v>
      </c>
      <c r="B8" s="143"/>
      <c r="C8" s="143"/>
      <c r="D8" s="143"/>
      <c r="E8" s="143"/>
      <c r="F8" s="143"/>
      <c r="G8" s="143"/>
      <c r="H8" s="143"/>
      <c r="I8" s="143"/>
      <c r="J8" s="143"/>
    </row>
    <row r="9" spans="1:13" s="21" customFormat="1" x14ac:dyDescent="0.25">
      <c r="A9" s="144" t="s">
        <v>4</v>
      </c>
      <c r="B9" s="143"/>
      <c r="C9" s="143"/>
      <c r="D9" s="143"/>
      <c r="E9" s="143"/>
      <c r="F9" s="143"/>
      <c r="G9" s="143"/>
      <c r="H9" s="143"/>
      <c r="I9" s="143"/>
      <c r="J9" s="143"/>
    </row>
    <row r="10" spans="1:13" s="21" customFormat="1" x14ac:dyDescent="0.25">
      <c r="A10" s="144" t="s">
        <v>32</v>
      </c>
      <c r="B10" s="144"/>
      <c r="C10" s="144"/>
      <c r="D10" s="144"/>
      <c r="E10" s="144"/>
      <c r="F10" s="144"/>
      <c r="G10" s="144"/>
      <c r="H10" s="144"/>
      <c r="I10" s="144"/>
      <c r="J10" s="144"/>
    </row>
    <row r="11" spans="1:13" s="21" customFormat="1" x14ac:dyDescent="0.25">
      <c r="A11" s="5"/>
    </row>
    <row r="12" spans="1:13" ht="15.6" x14ac:dyDescent="0.3">
      <c r="A12" s="1" t="s">
        <v>33</v>
      </c>
    </row>
    <row r="15" spans="1:13" x14ac:dyDescent="0.25">
      <c r="A15" s="2"/>
    </row>
    <row r="34" spans="18:18" x14ac:dyDescent="0.25">
      <c r="R34" s="106"/>
    </row>
  </sheetData>
  <mergeCells count="9">
    <mergeCell ref="A8:J8"/>
    <mergeCell ref="A9:J9"/>
    <mergeCell ref="A10:J10"/>
    <mergeCell ref="A1:L1"/>
    <mergeCell ref="A2:M2"/>
    <mergeCell ref="A4:J4"/>
    <mergeCell ref="A7:J7"/>
    <mergeCell ref="A6:J6"/>
    <mergeCell ref="A5:J5"/>
  </mergeCells>
  <phoneticPr fontId="0" type="noConversion"/>
  <pageMargins left="0.75" right="0.75" top="1" bottom="1" header="0.5" footer="0.5"/>
  <pageSetup orientation="landscape" r:id="rId1"/>
  <headerFooter alignWithMargins="0">
    <oddHeader>&amp;LPut your logo here&amp;C&amp;"Arial,Bold"&amp;14Project Budget Template&amp;R&amp;"Arial,Bold"&amp;12Your Organization
Name Here</oddHeader>
    <oddFooter>&amp;L&amp;8Template: Project Budget Template [Rel. 2.2 8-30-04]&amp;CPage &amp;P of &amp;N&amp;RPrint Date: &amp;D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56930-CC6D-41CF-A70E-BAB51E4DA8E7}">
  <dimension ref="B2:M100"/>
  <sheetViews>
    <sheetView tabSelected="1" topLeftCell="B6" zoomScale="112" zoomScaleNormal="100" workbookViewId="0">
      <selection activeCell="E11" sqref="E11"/>
    </sheetView>
  </sheetViews>
  <sheetFormatPr baseColWidth="10" defaultColWidth="9.109375" defaultRowHeight="13.2" x14ac:dyDescent="0.25"/>
  <cols>
    <col min="1" max="1" width="11.44140625" customWidth="1"/>
    <col min="2" max="3" width="17.109375" customWidth="1"/>
    <col min="4" max="4" width="15.88671875" customWidth="1"/>
    <col min="5" max="5" width="17.33203125" customWidth="1"/>
    <col min="6" max="6" width="17.88671875" customWidth="1"/>
  </cols>
  <sheetData>
    <row r="2" spans="2:13" ht="58.5" customHeight="1" x14ac:dyDescent="0.25">
      <c r="B2" s="148" t="s">
        <v>34</v>
      </c>
      <c r="C2" s="149"/>
      <c r="D2" s="149"/>
      <c r="E2" s="149"/>
      <c r="F2" s="150"/>
    </row>
    <row r="3" spans="2:13" s="16" customFormat="1" ht="26.25" customHeight="1" x14ac:dyDescent="0.25">
      <c r="B3" s="151" t="s">
        <v>35</v>
      </c>
      <c r="C3" s="142"/>
      <c r="D3" s="142"/>
      <c r="E3" s="142"/>
      <c r="F3" s="142"/>
    </row>
    <row r="4" spans="2:13" s="16" customFormat="1" ht="14.25" customHeight="1" x14ac:dyDescent="0.25">
      <c r="B4" s="153" t="s">
        <v>37</v>
      </c>
      <c r="C4" s="153"/>
      <c r="D4" s="153"/>
      <c r="E4" s="153"/>
      <c r="F4" s="153"/>
    </row>
    <row r="5" spans="2:13" s="16" customFormat="1" ht="12.75" customHeight="1" x14ac:dyDescent="0.25">
      <c r="B5" s="142" t="s">
        <v>39</v>
      </c>
      <c r="C5" s="142"/>
      <c r="D5" s="142"/>
      <c r="E5" s="142"/>
      <c r="F5" s="142"/>
    </row>
    <row r="6" spans="2:13" s="16" customFormat="1" x14ac:dyDescent="0.25">
      <c r="B6" s="142" t="s">
        <v>36</v>
      </c>
      <c r="C6" s="142"/>
      <c r="D6" s="142"/>
      <c r="E6" s="142"/>
      <c r="F6" s="142"/>
    </row>
    <row r="7" spans="2:13" s="16" customFormat="1" x14ac:dyDescent="0.25">
      <c r="B7" s="142" t="s">
        <v>38</v>
      </c>
      <c r="C7" s="142"/>
      <c r="D7" s="142"/>
      <c r="E7" s="142"/>
      <c r="F7" s="142"/>
    </row>
    <row r="8" spans="2:13" s="16" customFormat="1" x14ac:dyDescent="0.25">
      <c r="B8" s="142" t="s">
        <v>40</v>
      </c>
      <c r="C8" s="142"/>
      <c r="D8" s="142"/>
      <c r="E8" s="142"/>
      <c r="F8" s="142"/>
    </row>
    <row r="9" spans="2:13" s="15" customFormat="1" x14ac:dyDescent="0.25">
      <c r="I9"/>
      <c r="J9"/>
      <c r="K9"/>
      <c r="L9"/>
      <c r="M9"/>
    </row>
    <row r="10" spans="2:13" s="17" customFormat="1" ht="39.6" x14ac:dyDescent="0.25">
      <c r="B10" s="53" t="s">
        <v>161</v>
      </c>
      <c r="C10" s="53" t="s">
        <v>162</v>
      </c>
      <c r="D10" s="53" t="s">
        <v>41</v>
      </c>
      <c r="E10" s="53" t="s">
        <v>163</v>
      </c>
      <c r="F10" s="53" t="s">
        <v>42</v>
      </c>
      <c r="I10"/>
      <c r="J10"/>
      <c r="K10"/>
      <c r="L10"/>
      <c r="M10"/>
    </row>
    <row r="11" spans="2:13" x14ac:dyDescent="0.25">
      <c r="B11" s="62">
        <v>1</v>
      </c>
      <c r="C11" s="104">
        <v>127.5</v>
      </c>
      <c r="D11" s="105">
        <f>C11</f>
        <v>127.5</v>
      </c>
      <c r="E11" s="104">
        <v>127.5</v>
      </c>
      <c r="F11" s="56">
        <f>E11</f>
        <v>127.5</v>
      </c>
    </row>
    <row r="12" spans="2:13" x14ac:dyDescent="0.25">
      <c r="B12" s="62">
        <v>2</v>
      </c>
      <c r="C12" s="104">
        <v>162.5</v>
      </c>
      <c r="D12" s="105">
        <f>SUM(C11:C12)</f>
        <v>290</v>
      </c>
      <c r="E12" s="104">
        <v>162.5</v>
      </c>
      <c r="F12" s="56">
        <f>SUM(E11:E12)</f>
        <v>290</v>
      </c>
    </row>
    <row r="13" spans="2:13" x14ac:dyDescent="0.25">
      <c r="B13" s="62">
        <v>3</v>
      </c>
      <c r="C13" s="104">
        <v>162.5</v>
      </c>
      <c r="D13" s="105">
        <f>SUM(C11:C13)</f>
        <v>452.5</v>
      </c>
      <c r="E13" s="104">
        <v>162.5</v>
      </c>
      <c r="F13" s="56">
        <f>SUM(E11:E13)</f>
        <v>452.5</v>
      </c>
    </row>
    <row r="14" spans="2:13" x14ac:dyDescent="0.25">
      <c r="B14" s="62">
        <v>4</v>
      </c>
      <c r="C14" s="104">
        <v>162.5</v>
      </c>
      <c r="D14" s="105">
        <f>SUM(C11:C14)</f>
        <v>615</v>
      </c>
      <c r="E14" s="104">
        <v>162.5</v>
      </c>
      <c r="F14" s="56">
        <f>SUM(E11:E14)</f>
        <v>615</v>
      </c>
    </row>
    <row r="15" spans="2:13" x14ac:dyDescent="0.25">
      <c r="B15" s="62">
        <v>5</v>
      </c>
      <c r="C15" s="104">
        <v>165</v>
      </c>
      <c r="D15" s="105">
        <f>SUM(C11:C15)</f>
        <v>780</v>
      </c>
      <c r="E15" s="104">
        <v>165</v>
      </c>
      <c r="F15" s="56">
        <f>SUM(E11:E15)</f>
        <v>780</v>
      </c>
    </row>
    <row r="16" spans="2:13" x14ac:dyDescent="0.25">
      <c r="B16" s="62">
        <v>6</v>
      </c>
      <c r="C16" s="104">
        <v>165</v>
      </c>
      <c r="D16" s="105">
        <f>SUM(C11:C16)</f>
        <v>945</v>
      </c>
      <c r="E16" s="104">
        <v>165</v>
      </c>
      <c r="F16" s="56">
        <f>SUM(E11:E16)</f>
        <v>945</v>
      </c>
    </row>
    <row r="17" spans="2:6" x14ac:dyDescent="0.25">
      <c r="B17" s="62">
        <v>7</v>
      </c>
      <c r="C17" s="104">
        <v>165</v>
      </c>
      <c r="D17" s="105">
        <f>SUM(C11:C17)</f>
        <v>1110</v>
      </c>
      <c r="E17" s="104">
        <v>165</v>
      </c>
      <c r="F17" s="56">
        <f>SUM(E11:E17)</f>
        <v>1110</v>
      </c>
    </row>
    <row r="18" spans="2:6" x14ac:dyDescent="0.25">
      <c r="B18" s="62">
        <v>8</v>
      </c>
      <c r="C18" s="104">
        <v>165</v>
      </c>
      <c r="D18" s="105">
        <f>SUM(C11:C18)</f>
        <v>1275</v>
      </c>
      <c r="E18" s="104">
        <v>165</v>
      </c>
      <c r="F18" s="56">
        <f>SUM(E11:E18)</f>
        <v>1275</v>
      </c>
    </row>
    <row r="19" spans="2:6" x14ac:dyDescent="0.25">
      <c r="B19" s="62">
        <v>9</v>
      </c>
      <c r="C19" s="104">
        <v>137.5</v>
      </c>
      <c r="D19" s="105">
        <f>SUM(C11:C19)</f>
        <v>1412.5</v>
      </c>
      <c r="E19" s="104">
        <v>137.5</v>
      </c>
      <c r="F19" s="56">
        <f>SUM(E11:E19)</f>
        <v>1412.5</v>
      </c>
    </row>
    <row r="20" spans="2:6" x14ac:dyDescent="0.25">
      <c r="B20" s="62">
        <v>10</v>
      </c>
      <c r="C20" s="104">
        <v>137.5</v>
      </c>
      <c r="D20" s="105">
        <f>SUM(C11:C20)</f>
        <v>1550</v>
      </c>
      <c r="E20" s="104">
        <v>137.5</v>
      </c>
      <c r="F20" s="56">
        <f>SUM(E11:E20)</f>
        <v>1550</v>
      </c>
    </row>
    <row r="21" spans="2:6" x14ac:dyDescent="0.25">
      <c r="B21" s="62">
        <v>11</v>
      </c>
      <c r="C21" s="104">
        <v>137.5</v>
      </c>
      <c r="D21" s="105">
        <f>SUM(C11:C21)</f>
        <v>1687.5</v>
      </c>
      <c r="E21" s="104">
        <v>137.5</v>
      </c>
      <c r="F21" s="56">
        <f>SUM(E11:E21)</f>
        <v>1687.5</v>
      </c>
    </row>
    <row r="22" spans="2:6" x14ac:dyDescent="0.25">
      <c r="B22" s="62">
        <v>12</v>
      </c>
      <c r="C22" s="104">
        <v>137.5</v>
      </c>
      <c r="D22" s="105">
        <f>SUM(C11:C22)</f>
        <v>1825</v>
      </c>
      <c r="E22" s="104">
        <v>137.5</v>
      </c>
      <c r="F22" s="56">
        <f>SUM(E11:E22)</f>
        <v>1825</v>
      </c>
    </row>
    <row r="23" spans="2:6" x14ac:dyDescent="0.25">
      <c r="B23" s="62">
        <v>13</v>
      </c>
      <c r="C23" s="104">
        <v>126.25</v>
      </c>
      <c r="D23" s="105">
        <f>SUM(C11:C23)</f>
        <v>1951.25</v>
      </c>
      <c r="E23" s="104">
        <v>126.25</v>
      </c>
      <c r="F23" s="56">
        <f>SUM(E11:E23)</f>
        <v>1951.25</v>
      </c>
    </row>
    <row r="24" spans="2:6" x14ac:dyDescent="0.25">
      <c r="B24" s="62">
        <v>14</v>
      </c>
      <c r="C24" s="104">
        <v>126.25</v>
      </c>
      <c r="D24" s="105">
        <f>SUM(C11:C24)</f>
        <v>2077.5</v>
      </c>
      <c r="E24" s="104">
        <v>126.25</v>
      </c>
      <c r="F24" s="56">
        <f>SUM(E11:E24)</f>
        <v>2077.5</v>
      </c>
    </row>
    <row r="25" spans="2:6" x14ac:dyDescent="0.25">
      <c r="B25" s="62">
        <v>15</v>
      </c>
      <c r="C25" s="104">
        <v>126.25</v>
      </c>
      <c r="D25" s="105">
        <f>SUM(C11:C25)</f>
        <v>2203.75</v>
      </c>
      <c r="E25" s="104">
        <v>126.25</v>
      </c>
      <c r="F25" s="56">
        <f>SUM(E11:E25)</f>
        <v>2203.75</v>
      </c>
    </row>
    <row r="26" spans="2:6" x14ac:dyDescent="0.25">
      <c r="B26" s="62">
        <v>16</v>
      </c>
      <c r="C26" s="104">
        <v>126.25</v>
      </c>
      <c r="D26" s="105">
        <f>SUM(C11:C26)</f>
        <v>2330</v>
      </c>
      <c r="E26" s="104">
        <v>126.25</v>
      </c>
      <c r="F26" s="56">
        <f>SUM(E11:E26)</f>
        <v>2330</v>
      </c>
    </row>
    <row r="27" spans="2:6" x14ac:dyDescent="0.25">
      <c r="B27" s="62"/>
      <c r="C27" s="54"/>
      <c r="D27" s="55"/>
      <c r="E27" s="54"/>
      <c r="F27" s="56"/>
    </row>
    <row r="44" spans="2:6" x14ac:dyDescent="0.25">
      <c r="B44" s="62"/>
      <c r="C44" s="54"/>
      <c r="D44" s="55"/>
      <c r="E44" s="54"/>
      <c r="F44" s="56"/>
    </row>
    <row r="45" spans="2:6" x14ac:dyDescent="0.25">
      <c r="B45" s="62"/>
      <c r="C45" s="54"/>
      <c r="D45" s="55"/>
      <c r="E45" s="54"/>
      <c r="F45" s="56"/>
    </row>
    <row r="46" spans="2:6" x14ac:dyDescent="0.25">
      <c r="B46" s="62"/>
      <c r="C46" s="54"/>
      <c r="D46" s="55"/>
      <c r="E46" s="54"/>
      <c r="F46" s="56"/>
    </row>
    <row r="47" spans="2:6" x14ac:dyDescent="0.25">
      <c r="B47" s="62"/>
      <c r="C47" s="54"/>
      <c r="D47" s="55"/>
      <c r="E47" s="54"/>
      <c r="F47" s="56"/>
    </row>
    <row r="48" spans="2:6" x14ac:dyDescent="0.25">
      <c r="B48" s="62"/>
      <c r="C48" s="54"/>
      <c r="D48" s="55"/>
      <c r="E48" s="54"/>
      <c r="F48" s="56"/>
    </row>
    <row r="49" spans="2:6" x14ac:dyDescent="0.25">
      <c r="B49" s="62"/>
      <c r="C49" s="54"/>
      <c r="D49" s="55"/>
      <c r="E49" s="54"/>
      <c r="F49" s="56"/>
    </row>
    <row r="50" spans="2:6" x14ac:dyDescent="0.25">
      <c r="B50" s="62"/>
      <c r="C50" s="54"/>
      <c r="D50" s="55"/>
      <c r="E50" s="54"/>
      <c r="F50" s="56"/>
    </row>
    <row r="51" spans="2:6" x14ac:dyDescent="0.25">
      <c r="B51" s="62"/>
      <c r="C51" s="54"/>
      <c r="D51" s="55"/>
      <c r="E51" s="54"/>
      <c r="F51" s="56"/>
    </row>
    <row r="52" spans="2:6" x14ac:dyDescent="0.25">
      <c r="B52" s="62"/>
      <c r="C52" s="54"/>
      <c r="D52" s="55"/>
      <c r="E52" s="54"/>
      <c r="F52" s="56"/>
    </row>
    <row r="53" spans="2:6" x14ac:dyDescent="0.25">
      <c r="B53" s="62"/>
      <c r="C53" s="54"/>
      <c r="D53" s="55"/>
      <c r="E53" s="54"/>
      <c r="F53" s="56"/>
    </row>
    <row r="54" spans="2:6" x14ac:dyDescent="0.25">
      <c r="B54" s="62"/>
      <c r="C54" s="54"/>
      <c r="D54" s="55"/>
      <c r="E54" s="54"/>
      <c r="F54" s="56"/>
    </row>
    <row r="55" spans="2:6" x14ac:dyDescent="0.25">
      <c r="B55" s="62"/>
      <c r="C55" s="54"/>
      <c r="D55" s="55"/>
      <c r="E55" s="54"/>
      <c r="F55" s="56"/>
    </row>
    <row r="56" spans="2:6" x14ac:dyDescent="0.25">
      <c r="B56" s="62"/>
      <c r="C56" s="54"/>
      <c r="D56" s="55"/>
      <c r="E56" s="54"/>
      <c r="F56" s="56"/>
    </row>
    <row r="57" spans="2:6" x14ac:dyDescent="0.25">
      <c r="B57" s="62"/>
      <c r="C57" s="54"/>
      <c r="D57" s="55"/>
      <c r="E57" s="54"/>
      <c r="F57" s="56"/>
    </row>
    <row r="58" spans="2:6" x14ac:dyDescent="0.25">
      <c r="B58" s="62"/>
      <c r="C58" s="54"/>
      <c r="D58" s="55"/>
      <c r="E58" s="54"/>
      <c r="F58" s="56"/>
    </row>
    <row r="59" spans="2:6" x14ac:dyDescent="0.25">
      <c r="B59" s="62"/>
      <c r="C59" s="54"/>
      <c r="D59" s="55"/>
      <c r="E59" s="54"/>
      <c r="F59" s="56"/>
    </row>
    <row r="60" spans="2:6" x14ac:dyDescent="0.25">
      <c r="B60" s="62"/>
      <c r="C60" s="54"/>
      <c r="D60" s="55"/>
      <c r="E60" s="54"/>
      <c r="F60" s="56"/>
    </row>
    <row r="61" spans="2:6" x14ac:dyDescent="0.25">
      <c r="B61" s="62"/>
      <c r="C61" s="54"/>
      <c r="D61" s="55"/>
      <c r="E61" s="54"/>
      <c r="F61" s="56"/>
    </row>
    <row r="62" spans="2:6" x14ac:dyDescent="0.25">
      <c r="B62" s="62"/>
      <c r="C62" s="54"/>
      <c r="D62" s="55"/>
      <c r="E62" s="54"/>
      <c r="F62" s="56"/>
    </row>
    <row r="63" spans="2:6" x14ac:dyDescent="0.25">
      <c r="B63" s="62"/>
      <c r="C63" s="54"/>
      <c r="D63" s="55"/>
      <c r="E63" s="54"/>
      <c r="F63" s="56"/>
    </row>
    <row r="64" spans="2:6" x14ac:dyDescent="0.25">
      <c r="B64" s="62"/>
      <c r="C64" s="54"/>
      <c r="D64" s="55"/>
      <c r="E64" s="54"/>
      <c r="F64" s="56"/>
    </row>
    <row r="65" spans="2:6" x14ac:dyDescent="0.25">
      <c r="B65" s="62"/>
      <c r="C65" s="54"/>
      <c r="D65" s="55"/>
      <c r="E65" s="54"/>
      <c r="F65" s="56"/>
    </row>
    <row r="66" spans="2:6" x14ac:dyDescent="0.25">
      <c r="B66" s="62"/>
      <c r="C66" s="54"/>
      <c r="D66" s="55"/>
      <c r="E66" s="54"/>
      <c r="F66" s="56"/>
    </row>
    <row r="67" spans="2:6" x14ac:dyDescent="0.25">
      <c r="B67" s="62"/>
      <c r="C67" s="54"/>
      <c r="D67" s="55"/>
      <c r="E67" s="54"/>
      <c r="F67" s="56"/>
    </row>
    <row r="68" spans="2:6" x14ac:dyDescent="0.25">
      <c r="B68" s="62"/>
      <c r="C68" s="54"/>
      <c r="D68" s="55"/>
      <c r="E68" s="54"/>
      <c r="F68" s="56"/>
    </row>
    <row r="69" spans="2:6" x14ac:dyDescent="0.25">
      <c r="B69" s="62"/>
      <c r="C69" s="54"/>
      <c r="D69" s="55"/>
      <c r="E69" s="54"/>
      <c r="F69" s="56"/>
    </row>
    <row r="70" spans="2:6" x14ac:dyDescent="0.25">
      <c r="B70" s="62"/>
      <c r="C70" s="54"/>
      <c r="D70" s="55"/>
      <c r="E70" s="54"/>
      <c r="F70" s="56"/>
    </row>
    <row r="71" spans="2:6" x14ac:dyDescent="0.25">
      <c r="B71" s="62"/>
      <c r="C71" s="54"/>
      <c r="D71" s="55"/>
      <c r="E71" s="54"/>
      <c r="F71" s="56"/>
    </row>
    <row r="72" spans="2:6" x14ac:dyDescent="0.25">
      <c r="B72" s="62"/>
      <c r="C72" s="54"/>
      <c r="D72" s="55"/>
      <c r="E72" s="54"/>
      <c r="F72" s="56"/>
    </row>
    <row r="73" spans="2:6" x14ac:dyDescent="0.25">
      <c r="B73" s="62"/>
      <c r="C73" s="54"/>
      <c r="D73" s="55"/>
      <c r="E73" s="54"/>
      <c r="F73" s="56"/>
    </row>
    <row r="74" spans="2:6" x14ac:dyDescent="0.25">
      <c r="B74" s="62"/>
      <c r="C74" s="54"/>
      <c r="D74" s="55"/>
      <c r="E74" s="54"/>
      <c r="F74" s="56"/>
    </row>
    <row r="75" spans="2:6" x14ac:dyDescent="0.25">
      <c r="B75" s="62"/>
      <c r="C75" s="54"/>
      <c r="D75" s="55"/>
      <c r="E75" s="54"/>
      <c r="F75" s="56"/>
    </row>
    <row r="76" spans="2:6" x14ac:dyDescent="0.25">
      <c r="B76" s="62"/>
      <c r="C76" s="54"/>
      <c r="D76" s="55"/>
      <c r="E76" s="54"/>
      <c r="F76" s="56"/>
    </row>
    <row r="77" spans="2:6" x14ac:dyDescent="0.25">
      <c r="B77" s="62"/>
      <c r="C77" s="54"/>
      <c r="D77" s="55"/>
      <c r="E77" s="54"/>
      <c r="F77" s="56"/>
    </row>
    <row r="78" spans="2:6" x14ac:dyDescent="0.25">
      <c r="B78" s="62"/>
      <c r="C78" s="54"/>
      <c r="D78" s="55"/>
      <c r="E78" s="54"/>
      <c r="F78" s="56"/>
    </row>
    <row r="79" spans="2:6" x14ac:dyDescent="0.25">
      <c r="B79" s="62"/>
      <c r="C79" s="54"/>
      <c r="D79" s="55"/>
      <c r="E79" s="54"/>
      <c r="F79" s="56"/>
    </row>
    <row r="80" spans="2:6" x14ac:dyDescent="0.25">
      <c r="B80" s="62"/>
      <c r="C80" s="54"/>
      <c r="D80" s="55"/>
      <c r="E80" s="54"/>
      <c r="F80" s="56"/>
    </row>
    <row r="81" spans="2:6" x14ac:dyDescent="0.25">
      <c r="B81" s="62"/>
      <c r="C81" s="54"/>
      <c r="D81" s="55"/>
      <c r="E81" s="54"/>
      <c r="F81" s="56"/>
    </row>
    <row r="82" spans="2:6" x14ac:dyDescent="0.25">
      <c r="B82" s="62"/>
      <c r="C82" s="54"/>
      <c r="D82" s="55"/>
      <c r="E82" s="54"/>
      <c r="F82" s="56"/>
    </row>
    <row r="83" spans="2:6" x14ac:dyDescent="0.25">
      <c r="B83" s="63"/>
      <c r="C83" s="57"/>
      <c r="D83" s="55"/>
      <c r="E83" s="54"/>
      <c r="F83" s="56"/>
    </row>
    <row r="84" spans="2:6" x14ac:dyDescent="0.25">
      <c r="B84" s="63"/>
      <c r="C84" s="57"/>
      <c r="D84" s="55"/>
      <c r="E84" s="54"/>
      <c r="F84" s="56"/>
    </row>
    <row r="85" spans="2:6" x14ac:dyDescent="0.25">
      <c r="B85" s="63"/>
      <c r="C85" s="57"/>
      <c r="D85" s="55"/>
      <c r="E85" s="54"/>
      <c r="F85" s="56"/>
    </row>
    <row r="86" spans="2:6" x14ac:dyDescent="0.25">
      <c r="B86" s="63"/>
      <c r="C86" s="57"/>
      <c r="D86" s="55"/>
      <c r="E86" s="54"/>
      <c r="F86" s="56"/>
    </row>
    <row r="87" spans="2:6" x14ac:dyDescent="0.25">
      <c r="B87" s="63"/>
      <c r="C87" s="57"/>
      <c r="D87" s="55"/>
      <c r="E87" s="54"/>
      <c r="F87" s="56"/>
    </row>
    <row r="88" spans="2:6" x14ac:dyDescent="0.25">
      <c r="B88" s="63"/>
      <c r="C88" s="57"/>
      <c r="D88" s="55"/>
      <c r="E88" s="54"/>
      <c r="F88" s="56"/>
    </row>
    <row r="89" spans="2:6" x14ac:dyDescent="0.25">
      <c r="B89" s="63"/>
      <c r="C89" s="57"/>
      <c r="D89" s="55"/>
      <c r="E89" s="54"/>
      <c r="F89" s="56"/>
    </row>
    <row r="90" spans="2:6" x14ac:dyDescent="0.25">
      <c r="B90" s="63"/>
      <c r="C90" s="57"/>
      <c r="D90" s="55"/>
      <c r="E90" s="54"/>
      <c r="F90" s="56"/>
    </row>
    <row r="91" spans="2:6" x14ac:dyDescent="0.25">
      <c r="B91" s="63"/>
      <c r="C91" s="57"/>
      <c r="D91" s="55"/>
      <c r="E91" s="54"/>
      <c r="F91" s="56"/>
    </row>
    <row r="92" spans="2:6" x14ac:dyDescent="0.25">
      <c r="B92" s="63"/>
      <c r="C92" s="57"/>
      <c r="D92" s="55"/>
      <c r="E92" s="54"/>
      <c r="F92" s="56"/>
    </row>
    <row r="93" spans="2:6" x14ac:dyDescent="0.25">
      <c r="B93" s="63"/>
      <c r="C93" s="57"/>
      <c r="D93" s="55"/>
      <c r="E93" s="54"/>
      <c r="F93" s="56"/>
    </row>
    <row r="94" spans="2:6" x14ac:dyDescent="0.25">
      <c r="B94" s="63"/>
      <c r="C94" s="57"/>
      <c r="D94" s="55"/>
      <c r="E94" s="54"/>
      <c r="F94" s="56"/>
    </row>
    <row r="95" spans="2:6" x14ac:dyDescent="0.25">
      <c r="B95" s="63"/>
      <c r="C95" s="57"/>
      <c r="D95" s="55"/>
      <c r="E95" s="54"/>
      <c r="F95" s="56"/>
    </row>
    <row r="96" spans="2:6" x14ac:dyDescent="0.25">
      <c r="B96" s="63"/>
      <c r="C96" s="57"/>
      <c r="D96" s="55"/>
      <c r="E96" s="54"/>
      <c r="F96" s="56"/>
    </row>
    <row r="97" spans="2:6" x14ac:dyDescent="0.25">
      <c r="B97" s="63"/>
      <c r="C97" s="57"/>
      <c r="D97" s="55"/>
      <c r="E97" s="54"/>
      <c r="F97" s="56"/>
    </row>
    <row r="98" spans="2:6" x14ac:dyDescent="0.25">
      <c r="B98" s="64"/>
      <c r="C98" s="58"/>
      <c r="D98" s="59"/>
      <c r="E98" s="60"/>
      <c r="F98" s="61"/>
    </row>
    <row r="100" spans="2:6" x14ac:dyDescent="0.25">
      <c r="B100" s="152" t="s">
        <v>10</v>
      </c>
      <c r="C100" s="152"/>
      <c r="D100" s="152"/>
    </row>
  </sheetData>
  <mergeCells count="8">
    <mergeCell ref="B2:F2"/>
    <mergeCell ref="B3:F3"/>
    <mergeCell ref="B5:F5"/>
    <mergeCell ref="B6:F6"/>
    <mergeCell ref="B100:D100"/>
    <mergeCell ref="B7:F7"/>
    <mergeCell ref="B8:F8"/>
    <mergeCell ref="B4:F4"/>
  </mergeCells>
  <phoneticPr fontId="0" type="noConversion"/>
  <pageMargins left="0.75" right="0.75" top="1" bottom="1" header="0.5" footer="0.5"/>
  <pageSetup orientation="portrait" r:id="rId1"/>
  <headerFooter alignWithMargins="0">
    <oddHeader>&amp;LPut your logo here&amp;C&amp;"Arial,Bold"&amp;14Project Budget Template&amp;R&amp;"Arial,Bold"&amp;12Your Organization
Name Here</oddHeader>
    <oddFooter>&amp;L&amp;8Template: Project Budget Template [Rel. 2.1 8-30-04]&amp;CPage &amp;P of &amp;N&amp;RPrint Date: &amp;D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24E24CAF14D46B2DD609ACFD84C07" ma:contentTypeVersion="0" ma:contentTypeDescription="Create a new document." ma:contentTypeScope="" ma:versionID="9971b3b784abbe199b171e233c6d3889">
  <xsd:schema xmlns:xsd="http://www.w3.org/2001/XMLSchema" xmlns:xs="http://www.w3.org/2001/XMLSchema" xmlns:p="http://schemas.microsoft.com/office/2006/metadata/properties" xmlns:ns2="01eb4bd6-a8ff-4439-b7eb-fe0a650fbd8a" targetNamespace="http://schemas.microsoft.com/office/2006/metadata/properties" ma:root="true" ma:fieldsID="9a36e787f936117f0a8f63b0cc0186e7" ns2:_="">
    <xsd:import namespace="01eb4bd6-a8ff-4439-b7eb-fe0a650fbd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b4bd6-a8ff-4439-b7eb-fe0a650fbd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LongProperties xmlns="http://schemas.microsoft.com/office/2006/metadata/longProperties"/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3FC068-8F66-40FF-A284-D409D2C697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C8826-5379-48DC-BD9E-C782FD7B53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eb4bd6-a8ff-4439-b7eb-fe0a650fb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F2E235-D4B6-4131-B41A-A6CE8839A854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B53C760-98D1-4C93-AFDC-3A7E9790A1B6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73E7DFFF-3A4B-4C1D-B16C-DB8C77B7470E}">
  <ds:schemaRefs>
    <ds:schemaRef ds:uri="http://schemas.microsoft.com/office/2006/metadata/longProperties"/>
  </ds:schemaRefs>
</ds:datastoreItem>
</file>

<file path=customXml/itemProps6.xml><?xml version="1.0" encoding="utf-8"?>
<ds:datastoreItem xmlns:ds="http://schemas.openxmlformats.org/officeDocument/2006/customXml" ds:itemID="{AD7BA9ED-C63A-454D-A4FC-BA7A6FF96EA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Fuentes de Costos del Proyecto</vt:lpstr>
      <vt:lpstr>Costos a lo largo del tiempo</vt:lpstr>
      <vt:lpstr>Costos por Sprint</vt:lpstr>
      <vt:lpstr>Costo Acumulado del Proyecto</vt:lpstr>
      <vt:lpstr>Hoja de Datos</vt:lpstr>
      <vt:lpstr>'Fuentes de Costos del Proyecto'!_ftn1</vt:lpstr>
      <vt:lpstr>'Fuentes de Costos del Proyecto'!_ftnref1</vt:lpstr>
      <vt:lpstr>'Hoja de Datos'!Área_de_impresión</vt:lpstr>
    </vt:vector>
  </TitlesOfParts>
  <Company>CVR/IT Consulting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Presupuesto del Proyecto</dc:title>
  <dc:creator>hbravo-consultorge@innovacion.gob.pa</dc:creator>
  <cp:keywords>Budget; Cumulative Cost;</cp:keywords>
  <dc:description>Template history: Origin - partially from www.pmo.state.mn.us   Modified for City of Raleigh  Enterprise PMO. Copyright 2006 CVR/IT Consulting LLC.  All Rights Reserved.  No portion of this document may be used, reproduced or distributed without a valid license.  For license information see www.cvr-it.com or contact info@cvr-it.com.  Retain this notice in this Comments box.</dc:description>
  <cp:lastModifiedBy>Fabrizio Rafael Carpio</cp:lastModifiedBy>
  <cp:lastPrinted>2008-04-18T00:15:32Z</cp:lastPrinted>
  <dcterms:created xsi:type="dcterms:W3CDTF">2003-01-15T16:30:27Z</dcterms:created>
  <dcterms:modified xsi:type="dcterms:W3CDTF">2026-05-02T21:53:30Z</dcterms:modified>
  <cp:category>Rev. 2.1;last template update 8-30-04 gje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FWJASSSE55TN-275-101</vt:lpwstr>
  </property>
  <property fmtid="{D5CDD505-2E9C-101B-9397-08002B2CF9AE}" pid="3" name="_dlc_DocIdItemGuid">
    <vt:lpwstr>d707aaba-0938-4712-935e-3c52268454de</vt:lpwstr>
  </property>
  <property fmtid="{D5CDD505-2E9C-101B-9397-08002B2CF9AE}" pid="4" name="_dlc_DocIdUrl">
    <vt:lpwstr>https://portal.smrey.net/areas/it/_layouts/15/DocIdRedir.aspx?ID=FWJASSSE55TN-275-101, FWJASSSE55TN-275-101</vt:lpwstr>
  </property>
</Properties>
</file>